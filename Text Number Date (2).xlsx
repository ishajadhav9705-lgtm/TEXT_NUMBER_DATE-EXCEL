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/>
  </bookViews>
  <sheets>
    <sheet name="Employees_Data" sheetId="1" r:id="rId1"/>
    <sheet name="Sales_Data" sheetId="2" r:id="rId2"/>
    <sheet name="Attendance_Data" sheetId="3" r:id="rId3"/>
    <sheet name="Questions" sheetId="5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1" l="1"/>
  <c r="K6" i="2"/>
  <c r="L48" i="1"/>
  <c r="L47" i="1"/>
  <c r="K5" i="2"/>
  <c r="L45" i="1"/>
  <c r="L44" i="1"/>
  <c r="L43" i="1"/>
  <c r="K4" i="2"/>
  <c r="L41" i="1"/>
  <c r="L40" i="1"/>
  <c r="L39" i="1"/>
  <c r="L38" i="1"/>
  <c r="L37" i="1"/>
  <c r="L36" i="1"/>
  <c r="L35" i="1"/>
  <c r="L34" i="1"/>
  <c r="L33" i="1"/>
  <c r="L32" i="1"/>
  <c r="L30" i="1"/>
  <c r="L31" i="1"/>
  <c r="L29" i="1"/>
  <c r="K3" i="2"/>
  <c r="K2" i="2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52" i="1"/>
  <c r="L51" i="1"/>
</calcChain>
</file>

<file path=xl/sharedStrings.xml><?xml version="1.0" encoding="utf-8"?>
<sst xmlns="http://schemas.openxmlformats.org/spreadsheetml/2006/main" count="1837" uniqueCount="431">
  <si>
    <t>EmpID</t>
  </si>
  <si>
    <t>FirstName</t>
  </si>
  <si>
    <t>LastName</t>
  </si>
  <si>
    <t>Email</t>
  </si>
  <si>
    <t>Department</t>
  </si>
  <si>
    <t>City</t>
  </si>
  <si>
    <t>JoinDate</t>
  </si>
  <si>
    <t>Salary</t>
  </si>
  <si>
    <t>Bonus</t>
  </si>
  <si>
    <t>Rating</t>
  </si>
  <si>
    <t>Anjali</t>
  </si>
  <si>
    <t>Deshmukh</t>
  </si>
  <si>
    <t>anjali.deshmukh1@company.com</t>
  </si>
  <si>
    <t>Sales</t>
  </si>
  <si>
    <t>Pune</t>
  </si>
  <si>
    <t>Vikas</t>
  </si>
  <si>
    <t>Patil</t>
  </si>
  <si>
    <t>vikas.patil2@company.com</t>
  </si>
  <si>
    <t>IT</t>
  </si>
  <si>
    <t>Bangalore</t>
  </si>
  <si>
    <t>Pooja</t>
  </si>
  <si>
    <t>Iyer</t>
  </si>
  <si>
    <t>pooja.iyer3@company.com</t>
  </si>
  <si>
    <t>Marketing</t>
  </si>
  <si>
    <t>Rohit</t>
  </si>
  <si>
    <t>Gupta</t>
  </si>
  <si>
    <t>rohit.gupta4@company.com</t>
  </si>
  <si>
    <t>Delhi</t>
  </si>
  <si>
    <t>anjali.deshmukh5@company.com</t>
  </si>
  <si>
    <t>HR</t>
  </si>
  <si>
    <t>rohit.patil6@company.com</t>
  </si>
  <si>
    <t>Mumbai</t>
  </si>
  <si>
    <t>Rahul</t>
  </si>
  <si>
    <t>rahul.gupta7@company.com</t>
  </si>
  <si>
    <t>Neha</t>
  </si>
  <si>
    <t>Mehta</t>
  </si>
  <si>
    <t>neha.mehta8@company.com</t>
  </si>
  <si>
    <t>Priya</t>
  </si>
  <si>
    <t>Verma</t>
  </si>
  <si>
    <t>priya.verma9@company.com</t>
  </si>
  <si>
    <t>Finance</t>
  </si>
  <si>
    <t>Singh</t>
  </si>
  <si>
    <t>neha.singh10@company.com</t>
  </si>
  <si>
    <t>vikas.gupta11@company.com</t>
  </si>
  <si>
    <t>Amit</t>
  </si>
  <si>
    <t>amit.verma12@company.com</t>
  </si>
  <si>
    <t>Hyderabad</t>
  </si>
  <si>
    <t>amit.gupta13@company.com</t>
  </si>
  <si>
    <t>Sneha</t>
  </si>
  <si>
    <t>sneha.deshmukh14@company.com</t>
  </si>
  <si>
    <t>sneha.mehta15@company.com</t>
  </si>
  <si>
    <t>anjali.patil16@company.com</t>
  </si>
  <si>
    <t>vikas.patil17@company.com</t>
  </si>
  <si>
    <t>Operations</t>
  </si>
  <si>
    <t>Chennai</t>
  </si>
  <si>
    <t>sneha.patil18@company.com</t>
  </si>
  <si>
    <t>Kunal</t>
  </si>
  <si>
    <t>kunal.iyer19@company.com</t>
  </si>
  <si>
    <t>kunal.gupta20@company.com</t>
  </si>
  <si>
    <t>pooja.patil21@company.com</t>
  </si>
  <si>
    <t>kunal.verma22@company.com</t>
  </si>
  <si>
    <t>priya.patil23@company.com</t>
  </si>
  <si>
    <t>priya.singh24@company.com</t>
  </si>
  <si>
    <t>priya.iyer25@company.com</t>
  </si>
  <si>
    <t>Sharma</t>
  </si>
  <si>
    <t>anjali.sharma26@company.com</t>
  </si>
  <si>
    <t>rohit.patil27@company.com</t>
  </si>
  <si>
    <t>sneha.singh28@company.com</t>
  </si>
  <si>
    <t>pooja.singh29@company.com</t>
  </si>
  <si>
    <t>rohit.deshmukh30@company.com</t>
  </si>
  <si>
    <t>anjali.iyer31@company.com</t>
  </si>
  <si>
    <t>rahul.iyer32@company.com</t>
  </si>
  <si>
    <t>kunal.deshmukh33@company.com</t>
  </si>
  <si>
    <t>rahul.gupta34@company.com</t>
  </si>
  <si>
    <t>rohit.iyer35@company.com</t>
  </si>
  <si>
    <t>pooja.mehta36@company.com</t>
  </si>
  <si>
    <t>sneha.verma37@company.com</t>
  </si>
  <si>
    <t>rahul.mehta38@company.com</t>
  </si>
  <si>
    <t>priya.deshmukh39@company.com</t>
  </si>
  <si>
    <t>amit.gupta40@company.com</t>
  </si>
  <si>
    <t>rahul.iyer41@company.com</t>
  </si>
  <si>
    <t>rohit.gupta42@company.com</t>
  </si>
  <si>
    <t>amit.deshmukh43@company.com</t>
  </si>
  <si>
    <t>anjali.singh44@company.com</t>
  </si>
  <si>
    <t>sneha.singh45@company.com</t>
  </si>
  <si>
    <t>rohit.mehta46@company.com</t>
  </si>
  <si>
    <t>neha.gupta47@company.com</t>
  </si>
  <si>
    <t>rohit.verma48@company.com</t>
  </si>
  <si>
    <t>sneha.patil49@company.com</t>
  </si>
  <si>
    <t>neha.iyer50@company.com</t>
  </si>
  <si>
    <t>rohit.mehta51@company.com</t>
  </si>
  <si>
    <t>vikas.gupta52@company.com</t>
  </si>
  <si>
    <t>sneha.deshmukh53@company.com</t>
  </si>
  <si>
    <t>priya.patil54@company.com</t>
  </si>
  <si>
    <t>vikas.gupta55@company.com</t>
  </si>
  <si>
    <t>pooja.verma56@company.com</t>
  </si>
  <si>
    <t>sneha.singh57@company.com</t>
  </si>
  <si>
    <t>amit.patil58@company.com</t>
  </si>
  <si>
    <t>priya.mehta59@company.com</t>
  </si>
  <si>
    <t>neha.verma60@company.com</t>
  </si>
  <si>
    <t>sneha.singh61@company.com</t>
  </si>
  <si>
    <t>rohit.gupta62@company.com</t>
  </si>
  <si>
    <t>amit.singh63@company.com</t>
  </si>
  <si>
    <t>kunal.verma64@company.com</t>
  </si>
  <si>
    <t>neha.mehta65@company.com</t>
  </si>
  <si>
    <t>priya.gupta66@company.com</t>
  </si>
  <si>
    <t>rohit.mehta67@company.com</t>
  </si>
  <si>
    <t>rahul.iyer68@company.com</t>
  </si>
  <si>
    <t>rahul.iyer69@company.com</t>
  </si>
  <si>
    <t>neha.sharma70@company.com</t>
  </si>
  <si>
    <t>rohit.deshmukh71@company.com</t>
  </si>
  <si>
    <t>anjali.singh72@company.com</t>
  </si>
  <si>
    <t>priya.deshmukh73@company.com</t>
  </si>
  <si>
    <t>neha.mehta74@company.com</t>
  </si>
  <si>
    <t>pooja.singh75@company.com</t>
  </si>
  <si>
    <t>sneha.singh76@company.com</t>
  </si>
  <si>
    <t>rohit.verma77@company.com</t>
  </si>
  <si>
    <t>kunal.verma78@company.com</t>
  </si>
  <si>
    <t>kunal.singh79@company.com</t>
  </si>
  <si>
    <t>amit.verma80@company.com</t>
  </si>
  <si>
    <t>sneha.verma81@company.com</t>
  </si>
  <si>
    <t>sneha.verma82@company.com</t>
  </si>
  <si>
    <t>neha.gupta83@company.com</t>
  </si>
  <si>
    <t>sneha.verma84@company.com</t>
  </si>
  <si>
    <t>pooja.patil85@company.com</t>
  </si>
  <si>
    <t>amit.mehta86@company.com</t>
  </si>
  <si>
    <t>sneha.singh87@company.com</t>
  </si>
  <si>
    <t>amit.gupta88@company.com</t>
  </si>
  <si>
    <t>priya.gupta89@company.com</t>
  </si>
  <si>
    <t>rahul.patil90@company.com</t>
  </si>
  <si>
    <t>rahul.sharma91@company.com</t>
  </si>
  <si>
    <t>rohit.sharma92@company.com</t>
  </si>
  <si>
    <t>sneha.singh93@company.com</t>
  </si>
  <si>
    <t>anjali.sharma94@company.com</t>
  </si>
  <si>
    <t>sneha.patil95@company.com</t>
  </si>
  <si>
    <t>pooja.deshmukh96@company.com</t>
  </si>
  <si>
    <t>amit.mehta97@company.com</t>
  </si>
  <si>
    <t>rohit.singh98@company.com</t>
  </si>
  <si>
    <t>vikas.verma99@company.com</t>
  </si>
  <si>
    <t>neha.deshmukh100@company.com</t>
  </si>
  <si>
    <t>vikas.mehta101@company.com</t>
  </si>
  <si>
    <t>vikas.singh102@company.com</t>
  </si>
  <si>
    <t>sneha.deshmukh103@company.com</t>
  </si>
  <si>
    <t>rohit.gupta104@company.com</t>
  </si>
  <si>
    <t>amit.sharma105@company.com</t>
  </si>
  <si>
    <t>sneha.verma106@company.com</t>
  </si>
  <si>
    <t>priya.patil107@company.com</t>
  </si>
  <si>
    <t>rahul.patil108@company.com</t>
  </si>
  <si>
    <t>neha.patil109@company.com</t>
  </si>
  <si>
    <t>pooja.patil110@company.com</t>
  </si>
  <si>
    <t>kunal.deshmukh111@company.com</t>
  </si>
  <si>
    <t>anjali.verma112@company.com</t>
  </si>
  <si>
    <t>anjali.gupta113@company.com</t>
  </si>
  <si>
    <t>sneha.singh114@company.com</t>
  </si>
  <si>
    <t>pooja.singh115@company.com</t>
  </si>
  <si>
    <t>vikas.singh116@company.com</t>
  </si>
  <si>
    <t>rohit.singh117@company.com</t>
  </si>
  <si>
    <t>sneha.singh118@company.com</t>
  </si>
  <si>
    <t>rahul.sharma119@company.com</t>
  </si>
  <si>
    <t>amit.gupta120@company.com</t>
  </si>
  <si>
    <t>amit.singh121@company.com</t>
  </si>
  <si>
    <t>vikas.sharma122@company.com</t>
  </si>
  <si>
    <t>pooja.iyer123@company.com</t>
  </si>
  <si>
    <t>pooja.gupta124@company.com</t>
  </si>
  <si>
    <t>amit.sharma125@company.com</t>
  </si>
  <si>
    <t>priya.patil126@company.com</t>
  </si>
  <si>
    <t>sneha.singh127@company.com</t>
  </si>
  <si>
    <t>sneha.verma128@company.com</t>
  </si>
  <si>
    <t>rahul.iyer129@company.com</t>
  </si>
  <si>
    <t>amit.mehta130@company.com</t>
  </si>
  <si>
    <t>rohit.mehta131@company.com</t>
  </si>
  <si>
    <t>pooja.gupta132@company.com</t>
  </si>
  <si>
    <t>rohit.singh133@company.com</t>
  </si>
  <si>
    <t>neha.deshmukh134@company.com</t>
  </si>
  <si>
    <t>priya.deshmukh135@company.com</t>
  </si>
  <si>
    <t>anjali.gupta136@company.com</t>
  </si>
  <si>
    <t>sneha.sharma137@company.com</t>
  </si>
  <si>
    <t>kunal.verma138@company.com</t>
  </si>
  <si>
    <t>rahul.deshmukh139@company.com</t>
  </si>
  <si>
    <t>amit.deshmukh140@company.com</t>
  </si>
  <si>
    <t>sneha.sharma141@company.com</t>
  </si>
  <si>
    <t>kunal.mehta142@company.com</t>
  </si>
  <si>
    <t>kunal.mehta143@company.com</t>
  </si>
  <si>
    <t>kunal.sharma144@company.com</t>
  </si>
  <si>
    <t>priya.iyer145@company.com</t>
  </si>
  <si>
    <t>rohit.verma146@company.com</t>
  </si>
  <si>
    <t>pooja.gupta147@company.com</t>
  </si>
  <si>
    <t>priya.patil148@company.com</t>
  </si>
  <si>
    <t>sneha.verma149@company.com</t>
  </si>
  <si>
    <t>rohit.gupta150@company.com</t>
  </si>
  <si>
    <t>amit.iyer151@company.com</t>
  </si>
  <si>
    <t>pooja.mehta152@company.com</t>
  </si>
  <si>
    <t>pooja.verma153@company.com</t>
  </si>
  <si>
    <t>amit.deshmukh154@company.com</t>
  </si>
  <si>
    <t>sneha.iyer155@company.com</t>
  </si>
  <si>
    <t>sneha.patil156@company.com</t>
  </si>
  <si>
    <t>vikas.verma157@company.com</t>
  </si>
  <si>
    <t>sneha.deshmukh158@company.com</t>
  </si>
  <si>
    <t>kunal.sharma159@company.com</t>
  </si>
  <si>
    <t>rohit.iyer160@company.com</t>
  </si>
  <si>
    <t>kunal.iyer161@company.com</t>
  </si>
  <si>
    <t>pooja.iyer162@company.com</t>
  </si>
  <si>
    <t>vikas.singh163@company.com</t>
  </si>
  <si>
    <t>anjali.gupta164@company.com</t>
  </si>
  <si>
    <t>pooja.patil165@company.com</t>
  </si>
  <si>
    <t>anjali.patil166@company.com</t>
  </si>
  <si>
    <t>vikas.singh167@company.com</t>
  </si>
  <si>
    <t>vikas.deshmukh168@company.com</t>
  </si>
  <si>
    <t>sneha.mehta169@company.com</t>
  </si>
  <si>
    <t>neha.singh170@company.com</t>
  </si>
  <si>
    <t>pooja.mehta171@company.com</t>
  </si>
  <si>
    <t>amit.sharma172@company.com</t>
  </si>
  <si>
    <t>kunal.singh173@company.com</t>
  </si>
  <si>
    <t>kunal.sharma174@company.com</t>
  </si>
  <si>
    <t>neha.deshmukh175@company.com</t>
  </si>
  <si>
    <t>kunal.patil176@company.com</t>
  </si>
  <si>
    <t>amit.deshmukh177@company.com</t>
  </si>
  <si>
    <t>anjali.iyer178@company.com</t>
  </si>
  <si>
    <t>pooja.singh179@company.com</t>
  </si>
  <si>
    <t>rahul.deshmukh180@company.com</t>
  </si>
  <si>
    <t>sneha.gupta181@company.com</t>
  </si>
  <si>
    <t>pooja.iyer182@company.com</t>
  </si>
  <si>
    <t>anjali.singh183@company.com</t>
  </si>
  <si>
    <t>amit.verma184@company.com</t>
  </si>
  <si>
    <t>amit.patil185@company.com</t>
  </si>
  <si>
    <t>rohit.deshmukh186@company.com</t>
  </si>
  <si>
    <t>rahul.iyer187@company.com</t>
  </si>
  <si>
    <t>pooja.patil188@company.com</t>
  </si>
  <si>
    <t>priya.verma189@company.com</t>
  </si>
  <si>
    <t>rohit.patil190@company.com</t>
  </si>
  <si>
    <t>rohit.verma191@company.com</t>
  </si>
  <si>
    <t>anjali.verma192@company.com</t>
  </si>
  <si>
    <t>rohit.gupta193@company.com</t>
  </si>
  <si>
    <t>anjali.singh194@company.com</t>
  </si>
  <si>
    <t>sneha.gupta195@company.com</t>
  </si>
  <si>
    <t>amit.patil196@company.com</t>
  </si>
  <si>
    <t>anjali.sharma197@company.com</t>
  </si>
  <si>
    <t>sneha.mehta198@company.com</t>
  </si>
  <si>
    <t>sneha.verma199@company.com</t>
  </si>
  <si>
    <t>rohit.singh200@company.com</t>
  </si>
  <si>
    <t>SaleID</t>
  </si>
  <si>
    <t>Region</t>
  </si>
  <si>
    <t>Product</t>
  </si>
  <si>
    <t>SaleDate</t>
  </si>
  <si>
    <t>Quantity</t>
  </si>
  <si>
    <t>UnitPrice</t>
  </si>
  <si>
    <t>Discount</t>
  </si>
  <si>
    <t>South</t>
  </si>
  <si>
    <t>Monitor</t>
  </si>
  <si>
    <t>West</t>
  </si>
  <si>
    <t>Tablet</t>
  </si>
  <si>
    <t>Laptop</t>
  </si>
  <si>
    <t>East</t>
  </si>
  <si>
    <t>Printer</t>
  </si>
  <si>
    <t>North</t>
  </si>
  <si>
    <t>Mobile</t>
  </si>
  <si>
    <t>RecordID</t>
  </si>
  <si>
    <t>Date</t>
  </si>
  <si>
    <t>InTime</t>
  </si>
  <si>
    <t>OutTime</t>
  </si>
  <si>
    <t>Status</t>
  </si>
  <si>
    <t>09:30</t>
  </si>
  <si>
    <t>18:30</t>
  </si>
  <si>
    <t>Leave</t>
  </si>
  <si>
    <t>Absent</t>
  </si>
  <si>
    <t>Present</t>
  </si>
  <si>
    <t>WFH</t>
  </si>
  <si>
    <t>Topic</t>
  </si>
  <si>
    <t>Function(s) Used</t>
  </si>
  <si>
    <t>Question</t>
  </si>
  <si>
    <t>Formula</t>
  </si>
  <si>
    <t>LEFT</t>
  </si>
  <si>
    <t>Extract first 3 characters from FirstName</t>
  </si>
  <si>
    <t>RIGHT</t>
  </si>
  <si>
    <t>Extract last 4 characters from Email</t>
  </si>
  <si>
    <t>MID</t>
  </si>
  <si>
    <t>Extract middle 5 characters from Email</t>
  </si>
  <si>
    <t>LEN</t>
  </si>
  <si>
    <t>Find length of Email ID</t>
  </si>
  <si>
    <t>TRIM</t>
  </si>
  <si>
    <t>Remove extra spaces from City</t>
  </si>
  <si>
    <t>UPPER</t>
  </si>
  <si>
    <t>Convert Department to uppercase</t>
  </si>
  <si>
    <t>LOWER</t>
  </si>
  <si>
    <t>Convert Email to lowercase</t>
  </si>
  <si>
    <t>PROPER</t>
  </si>
  <si>
    <t>Convert FirstName to proper case</t>
  </si>
  <si>
    <t>CONCAT</t>
  </si>
  <si>
    <t>Create Full Name</t>
  </si>
  <si>
    <t>TEXTJOIN</t>
  </si>
  <si>
    <t>Create Full Name with delimiter</t>
  </si>
  <si>
    <t>FIND</t>
  </si>
  <si>
    <t>Find position of “@” in Email</t>
  </si>
  <si>
    <t>SEARCH</t>
  </si>
  <si>
    <t>Find position of “.” in Email</t>
  </si>
  <si>
    <t>SUBSTITUTE</t>
  </si>
  <si>
    <t>Replace company.com with org.com</t>
  </si>
  <si>
    <t>REPLACE</t>
  </si>
  <si>
    <t>Replace first 5 characters of Email</t>
  </si>
  <si>
    <t>EXACT</t>
  </si>
  <si>
    <t>Check if FirstName and LastName are same</t>
  </si>
  <si>
    <t>LEFT(A2,3)</t>
  </si>
  <si>
    <t>RIGHT(D2,4)</t>
  </si>
  <si>
    <t>MID(D2,5,5)</t>
  </si>
  <si>
    <t>LEN(D2)</t>
  </si>
  <si>
    <t>TRIM(F2)</t>
  </si>
  <si>
    <t>UPPER(E2)</t>
  </si>
  <si>
    <t>LOWER(D2)</t>
  </si>
  <si>
    <t>PROPER(B2)</t>
  </si>
  <si>
    <t>CONCAT(B2," ",C2)</t>
  </si>
  <si>
    <t>TEXTJOIN(" ",TRUE,B2,C2)</t>
  </si>
  <si>
    <t>FIND("@",D2)</t>
  </si>
  <si>
    <t>SEARCH(".",D2)</t>
  </si>
  <si>
    <t>SUBSTITUTE(D2,"company.com","org.com")</t>
  </si>
  <si>
    <t>REPLACE(D2,1,5,"emp")</t>
  </si>
  <si>
    <t>EXACT(B2,C2)</t>
  </si>
  <si>
    <t>Date Functions</t>
  </si>
  <si>
    <t>TODAY</t>
  </si>
  <si>
    <t>Display today’s date</t>
  </si>
  <si>
    <t>NOW</t>
  </si>
  <si>
    <t>Display current date &amp; time</t>
  </si>
  <si>
    <t>DATE</t>
  </si>
  <si>
    <t>Create date using year, month, day</t>
  </si>
  <si>
    <t>DAY</t>
  </si>
  <si>
    <t>Extract day from JoinDate</t>
  </si>
  <si>
    <t>MONTH</t>
  </si>
  <si>
    <t>Extract month from JoinDate</t>
  </si>
  <si>
    <t>YEAR</t>
  </si>
  <si>
    <t>Extract year from JoinDate</t>
  </si>
  <si>
    <t>DATEDIF</t>
  </si>
  <si>
    <t>Calculate completed years since JoinDate</t>
  </si>
  <si>
    <t>Calculate completed months since JoinDate</t>
  </si>
  <si>
    <t>EDATE</t>
  </si>
  <si>
    <t>Add 6 months to JoinDate</t>
  </si>
  <si>
    <t>EOMONTH</t>
  </si>
  <si>
    <t>Find end of JoinDate month</t>
  </si>
  <si>
    <t>WEEKDAY</t>
  </si>
  <si>
    <t>Find weekday number of SaleDate</t>
  </si>
  <si>
    <t>WEEKNUM</t>
  </si>
  <si>
    <t>Find week number of SaleDate</t>
  </si>
  <si>
    <t>TEXT</t>
  </si>
  <si>
    <t>Format JoinDate as MMM-YYYY</t>
  </si>
  <si>
    <t>TODAY()</t>
  </si>
  <si>
    <t>NOW()</t>
  </si>
  <si>
    <t>DATE(2024,6,1)</t>
  </si>
  <si>
    <t>DAY(G2)</t>
  </si>
  <si>
    <t>MONTH(G2)</t>
  </si>
  <si>
    <t>YEAR(G2)</t>
  </si>
  <si>
    <t>DATEDIF(G2,TODAY(),"Y")</t>
  </si>
  <si>
    <t>DATEDIF(G2,TODAY(),"M")</t>
  </si>
  <si>
    <t>EDATE(G2,6)</t>
  </si>
  <si>
    <t>EOMONTH(G2,0)</t>
  </si>
  <si>
    <t>WEEKDAY(E2)</t>
  </si>
  <si>
    <t>WEEKNUM(E2)</t>
  </si>
  <si>
    <t>TEXT(G2,"MMM-YYYY")</t>
  </si>
  <si>
    <t xml:space="preserve">Sr no. </t>
  </si>
  <si>
    <t>Numeric Functions</t>
  </si>
  <si>
    <t>SUM</t>
  </si>
  <si>
    <t>Calculate total Salary</t>
  </si>
  <si>
    <t>AVERAGE</t>
  </si>
  <si>
    <t>Calculate average Salary</t>
  </si>
  <si>
    <t>MIN</t>
  </si>
  <si>
    <t>Find minimum Salary</t>
  </si>
  <si>
    <t>MAX</t>
  </si>
  <si>
    <t>Find maximum Salary</t>
  </si>
  <si>
    <t>COUNT</t>
  </si>
  <si>
    <t>Count number of Salary values</t>
  </si>
  <si>
    <t>COUNTA</t>
  </si>
  <si>
    <t>Count non-blank Employee names</t>
  </si>
  <si>
    <t>ROUND</t>
  </si>
  <si>
    <t>Round Salary to 2 decimals</t>
  </si>
  <si>
    <t>ROUNDUP</t>
  </si>
  <si>
    <t>Round Salary up to nearest thousand</t>
  </si>
  <si>
    <t>ROUNDDOWN</t>
  </si>
  <si>
    <t>Round Salary down to nearest thousand</t>
  </si>
  <si>
    <t>INT</t>
  </si>
  <si>
    <t>Extract integer part of Rating</t>
  </si>
  <si>
    <t>ABS</t>
  </si>
  <si>
    <t>Convert negative Bonus to positive</t>
  </si>
  <si>
    <t>MOD</t>
  </si>
  <si>
    <t>Find remainder of Salary ÷ 1000</t>
  </si>
  <si>
    <t>POWER</t>
  </si>
  <si>
    <t>Calculate square of Quantity</t>
  </si>
  <si>
    <t>SQRT</t>
  </si>
  <si>
    <t>Find square root of Salary</t>
  </si>
  <si>
    <t>Window Functions</t>
  </si>
  <si>
    <t>SUM (Running Total)</t>
  </si>
  <si>
    <t>Calculate running total of Salary</t>
  </si>
  <si>
    <t>RANK</t>
  </si>
  <si>
    <t>Rank employees based on Salary</t>
  </si>
  <si>
    <t>Rank sales by Quantity</t>
  </si>
  <si>
    <t>ROW</t>
  </si>
  <si>
    <t>Assign row number to each record</t>
  </si>
  <si>
    <t>COLUMN</t>
  </si>
  <si>
    <t>Display column number of Salary</t>
  </si>
  <si>
    <t>AVERAGE (Moving Avg)</t>
  </si>
  <si>
    <t>Calculate 3-row moving average of Quantity</t>
  </si>
  <si>
    <t>% of Total</t>
  </si>
  <si>
    <t>Calculate % contribution of Salary</t>
  </si>
  <si>
    <t>MAX + IF</t>
  </si>
  <si>
    <t>Find department-wise max salary</t>
  </si>
  <si>
    <t>MIN + IF</t>
  </si>
  <si>
    <t>Find department-wise min salary</t>
  </si>
  <si>
    <t>SUM(H2:H199)</t>
  </si>
  <si>
    <t>AVERAGE(H2:H199)</t>
  </si>
  <si>
    <t>MIN(H2:H199)</t>
  </si>
  <si>
    <t>MAX(H2:H199)</t>
  </si>
  <si>
    <t>COUNT(H2:H199)</t>
  </si>
  <si>
    <t>COUNTA(B2:B199)</t>
  </si>
  <si>
    <t>ROUND(H2,2)</t>
  </si>
  <si>
    <t>ROUNDUP(H2,-3)</t>
  </si>
  <si>
    <t>ROUNDDOWN(H2,-3)</t>
  </si>
  <si>
    <t>INT(J2)</t>
  </si>
  <si>
    <t>ABS(I2)</t>
  </si>
  <si>
    <t>MOD(H2,1000)</t>
  </si>
  <si>
    <t>POWER(F2,2)</t>
  </si>
  <si>
    <t>SQRT(H2)</t>
  </si>
  <si>
    <t>SUM($H$2:H2)</t>
  </si>
  <si>
    <t>RANK(H2,H:H,0)</t>
  </si>
  <si>
    <t>RANK(F2,F:F,0)</t>
  </si>
  <si>
    <t>ROW()-1</t>
  </si>
  <si>
    <t>COLUMN(H2)</t>
  </si>
  <si>
    <t>AVERAGE(F2:F4)</t>
  </si>
  <si>
    <t>H2/SUM(H:H)</t>
  </si>
  <si>
    <t>MAXIFS(H:H,E:E,E2)</t>
  </si>
  <si>
    <t>MINIFS(H:H,E:E,E2)</t>
  </si>
  <si>
    <t>Text Functions</t>
  </si>
  <si>
    <t>Questions</t>
  </si>
  <si>
    <t>Anwers</t>
  </si>
  <si>
    <t>Q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</si>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</sst>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22" fontId="2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/>
    <xf numFmtId="2" fontId="0" fillId="0" borderId="0" xfId="0" applyNumberFormat="1"/>
    <xf numFmtId="49" fontId="0" fillId="0" borderId="0" xfId="0" applyNumberFormat="1"/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0" fillId="0" borderId="2" xfId="0" applyNumberFormat="1" applyBorder="1"/>
    <xf numFmtId="22" fontId="0" fillId="0" borderId="2" xfId="0" applyNumberFormat="1" applyBorder="1"/>
    <xf numFmtId="0" fontId="0" fillId="0" borderId="2" xfId="0" applyFill="1" applyBorder="1" applyAlignment="1">
      <alignment vertical="center" wrapText="1"/>
    </xf>
    <xf numFmtId="164" fontId="0" fillId="0" borderId="2" xfId="0" applyNumberFormat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Views>
    <sheetView tabSelected="1" zoomScale="89" workbookViewId="0">
      <selection activeCell="L3" sqref="L3"/>
    </sheetView>
  </sheetViews>
  <sheetFormatPr defaultRowHeight="15" x14ac:dyDescent="0.25"/>
  <cols>
    <col min="1" max="1" width="6.5703125" bestFit="1" customWidth="1"/>
    <col min="2" max="2" width="9.7109375" bestFit="1" customWidth="1"/>
    <col min="3" max="3" width="9.42578125" bestFit="1" customWidth="1"/>
    <col min="4" max="4" width="31.42578125" bestFit="1" customWidth="1"/>
    <col min="5" max="5" width="11.140625" bestFit="1" customWidth="1"/>
    <col min="6" max="6" width="9.7109375" bestFit="1" customWidth="1"/>
    <col min="7" max="7" width="15.7109375" customWidth="1"/>
    <col min="8" max="8" width="7" bestFit="1" customWidth="1"/>
    <col min="9" max="10" width="6.28515625" bestFit="1" customWidth="1"/>
    <col min="11" max="11" width="25.7109375" customWidth="1"/>
    <col min="12" max="12" width="40.140625" customWidth="1"/>
    <col min="13" max="13" width="11.28515625" bestFit="1" customWidth="1"/>
    <col min="15" max="15" width="14.42578125" customWidth="1"/>
    <col min="16" max="16" width="16.42578125" customWidth="1"/>
    <col min="19" max="19" width="24" customWidth="1"/>
  </cols>
  <sheetData>
    <row r="1" spans="1:1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5" t="s">
        <v>427</v>
      </c>
      <c r="L1" s="16" t="s">
        <v>428</v>
      </c>
      <c r="M1" s="11"/>
      <c r="S1" s="2"/>
    </row>
    <row r="2" spans="1:19" x14ac:dyDescent="0.2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9">
        <v>44572</v>
      </c>
      <c r="H2" s="1">
        <v>107802</v>
      </c>
      <c r="I2" s="1">
        <v>15639</v>
      </c>
      <c r="J2" s="1">
        <v>2.5</v>
      </c>
      <c r="K2" s="2">
        <v>1</v>
      </c>
      <c r="L2" s="14" t="str">
        <f>LEFT(B2,3)</f>
        <v>Anj</v>
      </c>
      <c r="S2" s="2"/>
    </row>
    <row r="3" spans="1:19" x14ac:dyDescent="0.2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9">
        <v>43255</v>
      </c>
      <c r="H3" s="1">
        <v>46621</v>
      </c>
      <c r="I3" s="1">
        <v>11689</v>
      </c>
      <c r="J3" s="1">
        <v>3.3</v>
      </c>
      <c r="K3" s="2">
        <v>2</v>
      </c>
      <c r="L3" s="14" t="str">
        <f>RIGHT(D2,4)</f>
        <v>.com</v>
      </c>
      <c r="P3" s="13"/>
      <c r="S3" s="2"/>
    </row>
    <row r="4" spans="1:19" x14ac:dyDescent="0.25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14</v>
      </c>
      <c r="G4" s="9">
        <v>44330</v>
      </c>
      <c r="H4" s="1">
        <v>59373</v>
      </c>
      <c r="I4" s="1">
        <v>11410</v>
      </c>
      <c r="J4" s="1">
        <v>3</v>
      </c>
      <c r="K4" s="2">
        <v>3</v>
      </c>
      <c r="L4" s="14" t="str">
        <f>MID(D2,5,5)</f>
        <v>li.de</v>
      </c>
      <c r="P4" s="12"/>
      <c r="S4" s="2"/>
    </row>
    <row r="5" spans="1:19" x14ac:dyDescent="0.25">
      <c r="A5" s="1">
        <v>4</v>
      </c>
      <c r="B5" s="1" t="s">
        <v>24</v>
      </c>
      <c r="C5" s="1" t="s">
        <v>25</v>
      </c>
      <c r="D5" s="1" t="s">
        <v>26</v>
      </c>
      <c r="E5" s="1" t="s">
        <v>18</v>
      </c>
      <c r="F5" s="1" t="s">
        <v>27</v>
      </c>
      <c r="G5" s="9">
        <v>44446</v>
      </c>
      <c r="H5" s="1">
        <v>48239</v>
      </c>
      <c r="I5" s="1">
        <v>2593</v>
      </c>
      <c r="J5" s="1">
        <v>3.3</v>
      </c>
      <c r="K5" s="2">
        <v>4</v>
      </c>
      <c r="L5" s="14">
        <f>LEN(D2)</f>
        <v>28</v>
      </c>
      <c r="S5" s="2"/>
    </row>
    <row r="6" spans="1:19" x14ac:dyDescent="0.25">
      <c r="A6" s="1">
        <v>5</v>
      </c>
      <c r="B6" s="1" t="s">
        <v>10</v>
      </c>
      <c r="C6" s="1" t="s">
        <v>11</v>
      </c>
      <c r="D6" s="1" t="s">
        <v>28</v>
      </c>
      <c r="E6" s="1" t="s">
        <v>29</v>
      </c>
      <c r="F6" s="1" t="s">
        <v>27</v>
      </c>
      <c r="G6" s="9">
        <v>43127</v>
      </c>
      <c r="H6" s="1">
        <v>106015</v>
      </c>
      <c r="I6" s="1">
        <v>7324</v>
      </c>
      <c r="J6" s="1">
        <v>3.5</v>
      </c>
      <c r="K6" s="2">
        <v>5</v>
      </c>
      <c r="L6" s="14" t="str">
        <f>TRIM(F2)</f>
        <v>Pune</v>
      </c>
      <c r="S6" s="2"/>
    </row>
    <row r="7" spans="1:19" x14ac:dyDescent="0.25">
      <c r="A7" s="1">
        <v>6</v>
      </c>
      <c r="B7" s="1" t="s">
        <v>24</v>
      </c>
      <c r="C7" s="1" t="s">
        <v>16</v>
      </c>
      <c r="D7" s="1" t="s">
        <v>30</v>
      </c>
      <c r="E7" s="1" t="s">
        <v>23</v>
      </c>
      <c r="F7" s="1" t="s">
        <v>31</v>
      </c>
      <c r="G7" s="9">
        <v>44212</v>
      </c>
      <c r="H7" s="1">
        <v>74777</v>
      </c>
      <c r="I7" s="1">
        <v>12843</v>
      </c>
      <c r="J7" s="1">
        <v>3.9</v>
      </c>
      <c r="K7" s="19">
        <v>6</v>
      </c>
      <c r="L7" s="14" t="str">
        <f>UPPER(E2)</f>
        <v>SALES</v>
      </c>
      <c r="S7" s="2"/>
    </row>
    <row r="8" spans="1:19" x14ac:dyDescent="0.25">
      <c r="A8" s="1">
        <v>7</v>
      </c>
      <c r="B8" s="1" t="s">
        <v>32</v>
      </c>
      <c r="C8" s="1" t="s">
        <v>25</v>
      </c>
      <c r="D8" s="1" t="s">
        <v>33</v>
      </c>
      <c r="E8" s="1" t="s">
        <v>13</v>
      </c>
      <c r="F8" s="1" t="s">
        <v>27</v>
      </c>
      <c r="G8" s="9">
        <v>44871</v>
      </c>
      <c r="H8" s="1">
        <v>36629</v>
      </c>
      <c r="I8" s="1">
        <v>15356</v>
      </c>
      <c r="J8" s="1">
        <v>4.3</v>
      </c>
      <c r="K8" s="19">
        <v>7</v>
      </c>
      <c r="L8" s="14" t="str">
        <f>LOWER(D2)</f>
        <v>anjali.deshmukh1@company.com</v>
      </c>
      <c r="S8" s="2"/>
    </row>
    <row r="9" spans="1:19" x14ac:dyDescent="0.25">
      <c r="A9" s="1">
        <v>8</v>
      </c>
      <c r="B9" s="1" t="s">
        <v>34</v>
      </c>
      <c r="C9" s="1" t="s">
        <v>35</v>
      </c>
      <c r="D9" s="1" t="s">
        <v>36</v>
      </c>
      <c r="E9" s="1" t="s">
        <v>23</v>
      </c>
      <c r="F9" s="1" t="s">
        <v>14</v>
      </c>
      <c r="G9" s="9">
        <v>44099</v>
      </c>
      <c r="H9" s="1">
        <v>39078</v>
      </c>
      <c r="I9" s="1">
        <v>16118</v>
      </c>
      <c r="J9" s="1">
        <v>2.6</v>
      </c>
      <c r="K9" s="19">
        <v>8</v>
      </c>
      <c r="L9" s="14" t="str">
        <f>PROPER(B2)</f>
        <v>Anjali</v>
      </c>
      <c r="S9" s="10"/>
    </row>
    <row r="10" spans="1:19" x14ac:dyDescent="0.25">
      <c r="A10" s="1">
        <v>9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31</v>
      </c>
      <c r="G10" s="9">
        <v>43392</v>
      </c>
      <c r="H10" s="1">
        <v>118396</v>
      </c>
      <c r="I10" s="1">
        <v>16048</v>
      </c>
      <c r="J10" s="1">
        <v>2</v>
      </c>
      <c r="K10" s="19">
        <v>9</v>
      </c>
      <c r="L10" s="14" t="str">
        <f>CONCATENATE(B2," ",C2)</f>
        <v>Anjali Deshmukh</v>
      </c>
      <c r="S10" s="10"/>
    </row>
    <row r="11" spans="1:19" x14ac:dyDescent="0.25">
      <c r="A11" s="1">
        <v>10</v>
      </c>
      <c r="B11" s="1" t="s">
        <v>34</v>
      </c>
      <c r="C11" s="1" t="s">
        <v>41</v>
      </c>
      <c r="D11" s="1" t="s">
        <v>42</v>
      </c>
      <c r="E11" s="1" t="s">
        <v>18</v>
      </c>
      <c r="F11" s="1" t="s">
        <v>14</v>
      </c>
      <c r="G11" s="9">
        <v>44620</v>
      </c>
      <c r="H11" s="1">
        <v>57063</v>
      </c>
      <c r="I11" s="1">
        <v>9852</v>
      </c>
      <c r="J11" s="1">
        <v>2.2000000000000002</v>
      </c>
      <c r="K11" s="19">
        <v>10</v>
      </c>
      <c r="L11" s="14" t="str">
        <f>B2&amp;" "&amp;C2</f>
        <v>Anjali Deshmukh</v>
      </c>
      <c r="S11" s="2"/>
    </row>
    <row r="12" spans="1:19" x14ac:dyDescent="0.25">
      <c r="A12" s="1">
        <v>11</v>
      </c>
      <c r="B12" s="1" t="s">
        <v>15</v>
      </c>
      <c r="C12" s="1" t="s">
        <v>25</v>
      </c>
      <c r="D12" s="1" t="s">
        <v>43</v>
      </c>
      <c r="E12" s="1" t="s">
        <v>23</v>
      </c>
      <c r="F12" s="1" t="s">
        <v>14</v>
      </c>
      <c r="G12" s="9">
        <v>43294</v>
      </c>
      <c r="H12" s="1">
        <v>58826</v>
      </c>
      <c r="I12" s="1">
        <v>9411</v>
      </c>
      <c r="J12" s="1">
        <v>4.0999999999999996</v>
      </c>
      <c r="K12" s="19">
        <v>11</v>
      </c>
      <c r="L12" s="14">
        <f>FIND("@",D2)</f>
        <v>17</v>
      </c>
      <c r="S12" s="2"/>
    </row>
    <row r="13" spans="1:19" x14ac:dyDescent="0.25">
      <c r="A13" s="1">
        <v>12</v>
      </c>
      <c r="B13" s="1" t="s">
        <v>44</v>
      </c>
      <c r="C13" s="1" t="s">
        <v>38</v>
      </c>
      <c r="D13" s="1" t="s">
        <v>45</v>
      </c>
      <c r="E13" s="1" t="s">
        <v>23</v>
      </c>
      <c r="F13" s="1" t="s">
        <v>46</v>
      </c>
      <c r="G13" s="9">
        <v>43269</v>
      </c>
      <c r="H13" s="1">
        <v>76901</v>
      </c>
      <c r="I13" s="1">
        <v>19418</v>
      </c>
      <c r="J13" s="1">
        <v>2.9</v>
      </c>
      <c r="K13" s="19">
        <v>12</v>
      </c>
      <c r="L13" s="14">
        <f>SEARCH(".",D2)</f>
        <v>7</v>
      </c>
      <c r="S13" s="2"/>
    </row>
    <row r="14" spans="1:19" x14ac:dyDescent="0.25">
      <c r="A14" s="1">
        <v>13</v>
      </c>
      <c r="B14" s="1" t="s">
        <v>44</v>
      </c>
      <c r="C14" s="1" t="s">
        <v>25</v>
      </c>
      <c r="D14" s="1" t="s">
        <v>47</v>
      </c>
      <c r="E14" s="1" t="s">
        <v>18</v>
      </c>
      <c r="F14" s="1" t="s">
        <v>19</v>
      </c>
      <c r="G14" s="9">
        <v>45031</v>
      </c>
      <c r="H14" s="1">
        <v>64643</v>
      </c>
      <c r="I14" s="1">
        <v>7225</v>
      </c>
      <c r="J14" s="1">
        <v>4.5</v>
      </c>
      <c r="K14" s="19">
        <v>13</v>
      </c>
      <c r="L14" s="14" t="str">
        <f>SUBSTITUTE(D2,"company.com","org.com")</f>
        <v>anjali.deshmukh1@org.com</v>
      </c>
      <c r="S14" s="2"/>
    </row>
    <row r="15" spans="1:19" x14ac:dyDescent="0.25">
      <c r="A15" s="1">
        <v>14</v>
      </c>
      <c r="B15" s="1" t="s">
        <v>48</v>
      </c>
      <c r="C15" s="1" t="s">
        <v>11</v>
      </c>
      <c r="D15" s="1" t="s">
        <v>49</v>
      </c>
      <c r="E15" s="1" t="s">
        <v>13</v>
      </c>
      <c r="F15" s="1" t="s">
        <v>19</v>
      </c>
      <c r="G15" s="9">
        <v>44160</v>
      </c>
      <c r="H15" s="1">
        <v>113964</v>
      </c>
      <c r="I15" s="1">
        <v>3811</v>
      </c>
      <c r="J15" s="1">
        <v>3.6</v>
      </c>
      <c r="K15" s="19">
        <v>14</v>
      </c>
      <c r="L15" s="14" t="str">
        <f>REPLACE(D2,1,5,"emp")</f>
        <v>empi.deshmukh1@company.com</v>
      </c>
      <c r="S15" s="2"/>
    </row>
    <row r="16" spans="1:19" x14ac:dyDescent="0.25">
      <c r="A16" s="1">
        <v>15</v>
      </c>
      <c r="B16" s="1" t="s">
        <v>48</v>
      </c>
      <c r="C16" s="1" t="s">
        <v>35</v>
      </c>
      <c r="D16" s="1" t="s">
        <v>50</v>
      </c>
      <c r="E16" s="1" t="s">
        <v>40</v>
      </c>
      <c r="F16" s="1" t="s">
        <v>19</v>
      </c>
      <c r="G16" s="9">
        <v>43563</v>
      </c>
      <c r="H16" s="1">
        <v>113000</v>
      </c>
      <c r="I16" s="1">
        <v>6982</v>
      </c>
      <c r="J16" s="1">
        <v>3.9</v>
      </c>
      <c r="K16" s="19">
        <v>15</v>
      </c>
      <c r="L16" s="14" t="b">
        <f>EXACT(B2,C2)</f>
        <v>0</v>
      </c>
      <c r="S16" s="2"/>
    </row>
    <row r="17" spans="1:19" x14ac:dyDescent="0.25">
      <c r="A17" s="1">
        <v>16</v>
      </c>
      <c r="B17" s="1" t="s">
        <v>10</v>
      </c>
      <c r="C17" s="1" t="s">
        <v>16</v>
      </c>
      <c r="D17" s="1" t="s">
        <v>51</v>
      </c>
      <c r="E17" s="1" t="s">
        <v>13</v>
      </c>
      <c r="F17" s="1" t="s">
        <v>31</v>
      </c>
      <c r="G17" s="9">
        <v>44078</v>
      </c>
      <c r="H17" s="1">
        <v>103080</v>
      </c>
      <c r="I17" s="1">
        <v>8755</v>
      </c>
      <c r="J17" s="1">
        <v>3.1</v>
      </c>
      <c r="K17" s="19">
        <v>16</v>
      </c>
      <c r="L17" s="17">
        <f ca="1">TODAY()</f>
        <v>46104</v>
      </c>
      <c r="S17" s="2"/>
    </row>
    <row r="18" spans="1:19" x14ac:dyDescent="0.25">
      <c r="A18" s="1">
        <v>17</v>
      </c>
      <c r="B18" s="1" t="s">
        <v>15</v>
      </c>
      <c r="C18" s="1" t="s">
        <v>16</v>
      </c>
      <c r="D18" s="1" t="s">
        <v>52</v>
      </c>
      <c r="E18" s="1" t="s">
        <v>53</v>
      </c>
      <c r="F18" s="1" t="s">
        <v>54</v>
      </c>
      <c r="G18" s="9">
        <v>43918</v>
      </c>
      <c r="H18" s="1">
        <v>91113</v>
      </c>
      <c r="I18" s="1">
        <v>19232</v>
      </c>
      <c r="J18" s="1">
        <v>2.7</v>
      </c>
      <c r="K18" s="19">
        <v>17</v>
      </c>
      <c r="L18" s="18">
        <f ca="1">NOW()</f>
        <v>46104.578214351852</v>
      </c>
      <c r="S18" s="2"/>
    </row>
    <row r="19" spans="1:19" x14ac:dyDescent="0.25">
      <c r="A19" s="1">
        <v>18</v>
      </c>
      <c r="B19" s="1" t="s">
        <v>48</v>
      </c>
      <c r="C19" s="1" t="s">
        <v>16</v>
      </c>
      <c r="D19" s="1" t="s">
        <v>55</v>
      </c>
      <c r="E19" s="1" t="s">
        <v>13</v>
      </c>
      <c r="F19" s="1" t="s">
        <v>14</v>
      </c>
      <c r="G19" s="9">
        <v>44004</v>
      </c>
      <c r="H19" s="1">
        <v>109752</v>
      </c>
      <c r="I19" s="1">
        <v>17626</v>
      </c>
      <c r="J19" s="1">
        <v>3.3</v>
      </c>
      <c r="K19" s="19">
        <v>18</v>
      </c>
      <c r="L19" s="17">
        <f>DATE(2024,6,1)</f>
        <v>45444</v>
      </c>
      <c r="S19" s="2"/>
    </row>
    <row r="20" spans="1:19" x14ac:dyDescent="0.25">
      <c r="A20" s="1">
        <v>19</v>
      </c>
      <c r="B20" s="1" t="s">
        <v>56</v>
      </c>
      <c r="C20" s="1" t="s">
        <v>21</v>
      </c>
      <c r="D20" s="1" t="s">
        <v>57</v>
      </c>
      <c r="E20" s="1" t="s">
        <v>29</v>
      </c>
      <c r="F20" s="1" t="s">
        <v>27</v>
      </c>
      <c r="G20" s="9">
        <v>44847</v>
      </c>
      <c r="H20" s="1">
        <v>71096</v>
      </c>
      <c r="I20" s="1">
        <v>18940</v>
      </c>
      <c r="J20" s="1">
        <v>2.4</v>
      </c>
      <c r="K20" s="19">
        <v>19</v>
      </c>
      <c r="L20" s="14">
        <f>DAY(G2)</f>
        <v>11</v>
      </c>
      <c r="S20" s="2"/>
    </row>
    <row r="21" spans="1:19" x14ac:dyDescent="0.25">
      <c r="A21" s="1">
        <v>20</v>
      </c>
      <c r="B21" s="1" t="s">
        <v>56</v>
      </c>
      <c r="C21" s="1" t="s">
        <v>25</v>
      </c>
      <c r="D21" s="1" t="s">
        <v>58</v>
      </c>
      <c r="E21" s="1" t="s">
        <v>53</v>
      </c>
      <c r="F21" s="1" t="s">
        <v>19</v>
      </c>
      <c r="G21" s="9">
        <v>44403</v>
      </c>
      <c r="H21" s="1">
        <v>84120</v>
      </c>
      <c r="I21" s="1">
        <v>16185</v>
      </c>
      <c r="J21" s="1">
        <v>2.5</v>
      </c>
      <c r="K21" s="19">
        <v>20</v>
      </c>
      <c r="L21" s="14">
        <f>MONTH(G2)</f>
        <v>1</v>
      </c>
      <c r="S21" s="2"/>
    </row>
    <row r="22" spans="1:19" x14ac:dyDescent="0.25">
      <c r="A22" s="1">
        <v>21</v>
      </c>
      <c r="B22" s="1" t="s">
        <v>20</v>
      </c>
      <c r="C22" s="1" t="s">
        <v>16</v>
      </c>
      <c r="D22" s="1" t="s">
        <v>59</v>
      </c>
      <c r="E22" s="1" t="s">
        <v>23</v>
      </c>
      <c r="F22" s="1" t="s">
        <v>19</v>
      </c>
      <c r="G22" s="9">
        <v>44628</v>
      </c>
      <c r="H22" s="1">
        <v>56079</v>
      </c>
      <c r="I22" s="1">
        <v>13176</v>
      </c>
      <c r="J22" s="1">
        <v>4.3</v>
      </c>
      <c r="K22" s="19">
        <v>21</v>
      </c>
      <c r="L22" s="14">
        <f>YEAR(G2)</f>
        <v>2022</v>
      </c>
      <c r="S22" s="2"/>
    </row>
    <row r="23" spans="1:19" x14ac:dyDescent="0.25">
      <c r="A23" s="1">
        <v>22</v>
      </c>
      <c r="B23" s="1" t="s">
        <v>56</v>
      </c>
      <c r="C23" s="1" t="s">
        <v>38</v>
      </c>
      <c r="D23" s="1" t="s">
        <v>60</v>
      </c>
      <c r="E23" s="1" t="s">
        <v>18</v>
      </c>
      <c r="F23" s="1" t="s">
        <v>46</v>
      </c>
      <c r="G23" s="9">
        <v>43749</v>
      </c>
      <c r="H23" s="1">
        <v>39986</v>
      </c>
      <c r="I23" s="1">
        <v>19118</v>
      </c>
      <c r="J23" s="1">
        <v>4</v>
      </c>
      <c r="K23" s="19">
        <v>22</v>
      </c>
      <c r="L23" s="14">
        <f ca="1">DATEDIF(G2,TODAY(),"y")</f>
        <v>4</v>
      </c>
      <c r="S23" s="2"/>
    </row>
    <row r="24" spans="1:19" x14ac:dyDescent="0.25">
      <c r="A24" s="1">
        <v>23</v>
      </c>
      <c r="B24" s="1" t="s">
        <v>37</v>
      </c>
      <c r="C24" s="1" t="s">
        <v>16</v>
      </c>
      <c r="D24" s="1" t="s">
        <v>61</v>
      </c>
      <c r="E24" s="1" t="s">
        <v>40</v>
      </c>
      <c r="F24" s="1" t="s">
        <v>14</v>
      </c>
      <c r="G24" s="9">
        <v>45089</v>
      </c>
      <c r="H24" s="1">
        <v>65068</v>
      </c>
      <c r="I24" s="1">
        <v>19304</v>
      </c>
      <c r="J24" s="1">
        <v>4.7</v>
      </c>
      <c r="K24" s="19">
        <v>23</v>
      </c>
      <c r="L24" s="14">
        <f ca="1">DATEDIF(G2,TODAY(),"m")</f>
        <v>50</v>
      </c>
      <c r="S24" s="2"/>
    </row>
    <row r="25" spans="1:19" x14ac:dyDescent="0.25">
      <c r="A25" s="1">
        <v>24</v>
      </c>
      <c r="B25" s="1" t="s">
        <v>37</v>
      </c>
      <c r="C25" s="1" t="s">
        <v>41</v>
      </c>
      <c r="D25" s="1" t="s">
        <v>62</v>
      </c>
      <c r="E25" s="1" t="s">
        <v>40</v>
      </c>
      <c r="F25" s="1" t="s">
        <v>27</v>
      </c>
      <c r="G25" s="9">
        <v>44764</v>
      </c>
      <c r="H25" s="1">
        <v>47132</v>
      </c>
      <c r="I25" s="1">
        <v>14408</v>
      </c>
      <c r="J25" s="1">
        <v>3.7</v>
      </c>
      <c r="K25" s="19">
        <v>24</v>
      </c>
      <c r="L25" s="14">
        <f>EDATE(G2,6)</f>
        <v>44753</v>
      </c>
      <c r="S25" s="2"/>
    </row>
    <row r="26" spans="1:19" x14ac:dyDescent="0.25">
      <c r="A26" s="1">
        <v>25</v>
      </c>
      <c r="B26" s="1" t="s">
        <v>37</v>
      </c>
      <c r="C26" s="1" t="s">
        <v>21</v>
      </c>
      <c r="D26" s="1" t="s">
        <v>63</v>
      </c>
      <c r="E26" s="1" t="s">
        <v>29</v>
      </c>
      <c r="F26" s="1" t="s">
        <v>31</v>
      </c>
      <c r="G26" s="9">
        <v>44326</v>
      </c>
      <c r="H26" s="1">
        <v>62432</v>
      </c>
      <c r="I26" s="1">
        <v>3009</v>
      </c>
      <c r="J26" s="1">
        <v>4.5999999999999996</v>
      </c>
      <c r="K26" s="19">
        <v>25</v>
      </c>
      <c r="L26" s="14">
        <f>EOMONTH(G2,0)</f>
        <v>44592</v>
      </c>
      <c r="S26" s="2"/>
    </row>
    <row r="27" spans="1:19" x14ac:dyDescent="0.25">
      <c r="A27" s="1">
        <v>26</v>
      </c>
      <c r="B27" s="1" t="s">
        <v>10</v>
      </c>
      <c r="C27" s="1" t="s">
        <v>64</v>
      </c>
      <c r="D27" s="1" t="s">
        <v>65</v>
      </c>
      <c r="E27" s="1" t="s">
        <v>40</v>
      </c>
      <c r="F27" s="1" t="s">
        <v>54</v>
      </c>
      <c r="G27" s="9">
        <v>44417</v>
      </c>
      <c r="H27" s="1">
        <v>82098</v>
      </c>
      <c r="I27" s="1">
        <v>7942</v>
      </c>
      <c r="J27" s="1">
        <v>3.9</v>
      </c>
      <c r="K27" s="19"/>
      <c r="L27" s="14"/>
      <c r="S27" s="2"/>
    </row>
    <row r="28" spans="1:19" x14ac:dyDescent="0.25">
      <c r="A28" s="1">
        <v>27</v>
      </c>
      <c r="B28" s="1" t="s">
        <v>24</v>
      </c>
      <c r="C28" s="1" t="s">
        <v>16</v>
      </c>
      <c r="D28" s="1" t="s">
        <v>66</v>
      </c>
      <c r="E28" s="1" t="s">
        <v>13</v>
      </c>
      <c r="F28" s="1" t="s">
        <v>14</v>
      </c>
      <c r="G28" s="9">
        <v>44129</v>
      </c>
      <c r="H28" s="1">
        <v>117030</v>
      </c>
      <c r="I28" s="1">
        <v>10150</v>
      </c>
      <c r="J28" s="1">
        <v>5</v>
      </c>
      <c r="K28" s="19"/>
      <c r="L28" s="14"/>
      <c r="S28" s="2"/>
    </row>
    <row r="29" spans="1:19" x14ac:dyDescent="0.25">
      <c r="A29" s="1">
        <v>28</v>
      </c>
      <c r="B29" s="1" t="s">
        <v>48</v>
      </c>
      <c r="C29" s="1" t="s">
        <v>41</v>
      </c>
      <c r="D29" s="1" t="s">
        <v>67</v>
      </c>
      <c r="E29" s="1" t="s">
        <v>13</v>
      </c>
      <c r="F29" s="1" t="s">
        <v>27</v>
      </c>
      <c r="G29" s="9">
        <v>43808</v>
      </c>
      <c r="H29" s="1">
        <v>41890</v>
      </c>
      <c r="I29" s="1">
        <v>16564</v>
      </c>
      <c r="J29" s="1">
        <v>5</v>
      </c>
      <c r="K29" s="19">
        <v>28</v>
      </c>
      <c r="L29" s="14" t="str">
        <f>TEXT(G2,"mmm-yyyy")</f>
        <v>Jan-2022</v>
      </c>
      <c r="S29" s="2"/>
    </row>
    <row r="30" spans="1:19" x14ac:dyDescent="0.25">
      <c r="A30" s="1">
        <v>29</v>
      </c>
      <c r="B30" s="1" t="s">
        <v>20</v>
      </c>
      <c r="C30" s="1" t="s">
        <v>41</v>
      </c>
      <c r="D30" s="1" t="s">
        <v>68</v>
      </c>
      <c r="E30" s="1" t="s">
        <v>18</v>
      </c>
      <c r="F30" s="1" t="s">
        <v>54</v>
      </c>
      <c r="G30" s="9">
        <v>44815</v>
      </c>
      <c r="H30" s="1">
        <v>119489</v>
      </c>
      <c r="I30" s="1">
        <v>19798</v>
      </c>
      <c r="J30" s="1">
        <v>3.2</v>
      </c>
      <c r="K30" s="19">
        <v>29</v>
      </c>
      <c r="L30" s="20">
        <f>SUM(H2:H201)</f>
        <v>14950893</v>
      </c>
      <c r="S30" s="2"/>
    </row>
    <row r="31" spans="1:19" x14ac:dyDescent="0.25">
      <c r="A31" s="1">
        <v>30</v>
      </c>
      <c r="B31" s="1" t="s">
        <v>24</v>
      </c>
      <c r="C31" s="1" t="s">
        <v>11</v>
      </c>
      <c r="D31" s="1" t="s">
        <v>69</v>
      </c>
      <c r="E31" s="1" t="s">
        <v>29</v>
      </c>
      <c r="F31" s="1" t="s">
        <v>14</v>
      </c>
      <c r="G31" s="9">
        <v>44513</v>
      </c>
      <c r="H31" s="1">
        <v>85306</v>
      </c>
      <c r="I31" s="1">
        <v>8877</v>
      </c>
      <c r="J31" s="1">
        <v>2.9</v>
      </c>
      <c r="K31" s="19">
        <v>30</v>
      </c>
      <c r="L31" s="14">
        <f>AVERAGE(H2:H201)</f>
        <v>74754.464999999997</v>
      </c>
    </row>
    <row r="32" spans="1:19" x14ac:dyDescent="0.25">
      <c r="A32" s="1">
        <v>31</v>
      </c>
      <c r="B32" s="1" t="s">
        <v>10</v>
      </c>
      <c r="C32" s="1" t="s">
        <v>21</v>
      </c>
      <c r="D32" s="1" t="s">
        <v>70</v>
      </c>
      <c r="E32" s="1" t="s">
        <v>40</v>
      </c>
      <c r="F32" s="1" t="s">
        <v>19</v>
      </c>
      <c r="G32" s="9">
        <v>44933</v>
      </c>
      <c r="H32" s="1">
        <v>59778</v>
      </c>
      <c r="I32" s="1">
        <v>2723</v>
      </c>
      <c r="J32" s="1">
        <v>3.6</v>
      </c>
      <c r="K32" s="19">
        <v>31</v>
      </c>
      <c r="L32" s="14">
        <f>MIN(H2:H201)</f>
        <v>30742</v>
      </c>
    </row>
    <row r="33" spans="1:12" x14ac:dyDescent="0.25">
      <c r="A33" s="1">
        <v>32</v>
      </c>
      <c r="B33" s="1" t="s">
        <v>32</v>
      </c>
      <c r="C33" s="1" t="s">
        <v>21</v>
      </c>
      <c r="D33" s="1" t="s">
        <v>71</v>
      </c>
      <c r="E33" s="1" t="s">
        <v>23</v>
      </c>
      <c r="F33" s="1" t="s">
        <v>31</v>
      </c>
      <c r="G33" s="9">
        <v>44088</v>
      </c>
      <c r="H33" s="1">
        <v>44587</v>
      </c>
      <c r="I33" s="1">
        <v>9401</v>
      </c>
      <c r="J33" s="1">
        <v>2.9</v>
      </c>
      <c r="K33" s="19">
        <v>32</v>
      </c>
      <c r="L33" s="14">
        <f>MAX(H2:H201)</f>
        <v>119989</v>
      </c>
    </row>
    <row r="34" spans="1:12" x14ac:dyDescent="0.25">
      <c r="A34" s="1">
        <v>33</v>
      </c>
      <c r="B34" s="1" t="s">
        <v>56</v>
      </c>
      <c r="C34" s="1" t="s">
        <v>11</v>
      </c>
      <c r="D34" s="1" t="s">
        <v>72</v>
      </c>
      <c r="E34" s="1" t="s">
        <v>13</v>
      </c>
      <c r="F34" s="1" t="s">
        <v>14</v>
      </c>
      <c r="G34" s="9">
        <v>43268</v>
      </c>
      <c r="H34" s="1">
        <v>64561</v>
      </c>
      <c r="I34" s="1">
        <v>19713</v>
      </c>
      <c r="J34" s="1">
        <v>4.8</v>
      </c>
      <c r="K34" s="19">
        <v>33</v>
      </c>
      <c r="L34" s="14">
        <f>COUNT(H2:H201)</f>
        <v>200</v>
      </c>
    </row>
    <row r="35" spans="1:12" x14ac:dyDescent="0.25">
      <c r="A35" s="1">
        <v>34</v>
      </c>
      <c r="B35" s="1" t="s">
        <v>32</v>
      </c>
      <c r="C35" s="1" t="s">
        <v>25</v>
      </c>
      <c r="D35" s="1" t="s">
        <v>73</v>
      </c>
      <c r="E35" s="1" t="s">
        <v>23</v>
      </c>
      <c r="F35" s="1" t="s">
        <v>46</v>
      </c>
      <c r="G35" s="9">
        <v>43848</v>
      </c>
      <c r="H35" s="1">
        <v>66877</v>
      </c>
      <c r="I35" s="1">
        <v>17135</v>
      </c>
      <c r="J35" s="1">
        <v>3.5</v>
      </c>
      <c r="K35" s="19">
        <v>34</v>
      </c>
      <c r="L35" s="14">
        <f>COUNTA(B2:B201)</f>
        <v>200</v>
      </c>
    </row>
    <row r="36" spans="1:12" x14ac:dyDescent="0.25">
      <c r="A36" s="1">
        <v>35</v>
      </c>
      <c r="B36" s="1" t="s">
        <v>24</v>
      </c>
      <c r="C36" s="1" t="s">
        <v>21</v>
      </c>
      <c r="D36" s="1" t="s">
        <v>74</v>
      </c>
      <c r="E36" s="1" t="s">
        <v>29</v>
      </c>
      <c r="F36" s="1" t="s">
        <v>31</v>
      </c>
      <c r="G36" s="9">
        <v>44888</v>
      </c>
      <c r="H36" s="1">
        <v>40393</v>
      </c>
      <c r="I36" s="1">
        <v>10594</v>
      </c>
      <c r="J36" s="1">
        <v>4.0999999999999996</v>
      </c>
      <c r="K36" s="19">
        <v>35</v>
      </c>
      <c r="L36" s="14">
        <f>ROUND(H2,2)</f>
        <v>107802</v>
      </c>
    </row>
    <row r="37" spans="1:12" x14ac:dyDescent="0.25">
      <c r="A37" s="1">
        <v>36</v>
      </c>
      <c r="B37" s="1" t="s">
        <v>20</v>
      </c>
      <c r="C37" s="1" t="s">
        <v>35</v>
      </c>
      <c r="D37" s="1" t="s">
        <v>75</v>
      </c>
      <c r="E37" s="1" t="s">
        <v>23</v>
      </c>
      <c r="F37" s="1" t="s">
        <v>27</v>
      </c>
      <c r="G37" s="9">
        <v>44340</v>
      </c>
      <c r="H37" s="1">
        <v>66159</v>
      </c>
      <c r="I37" s="1">
        <v>9847</v>
      </c>
      <c r="J37" s="1">
        <v>2.2999999999999998</v>
      </c>
      <c r="K37" s="19">
        <v>36</v>
      </c>
      <c r="L37" s="14">
        <f>ROUNDUP(H2,-3)</f>
        <v>108000</v>
      </c>
    </row>
    <row r="38" spans="1:12" x14ac:dyDescent="0.25">
      <c r="A38" s="1">
        <v>37</v>
      </c>
      <c r="B38" s="1" t="s">
        <v>48</v>
      </c>
      <c r="C38" s="1" t="s">
        <v>38</v>
      </c>
      <c r="D38" s="1" t="s">
        <v>76</v>
      </c>
      <c r="E38" s="1" t="s">
        <v>13</v>
      </c>
      <c r="F38" s="1" t="s">
        <v>54</v>
      </c>
      <c r="G38" s="9">
        <v>45054</v>
      </c>
      <c r="H38" s="1">
        <v>53891</v>
      </c>
      <c r="I38" s="1">
        <v>5818</v>
      </c>
      <c r="J38" s="1">
        <v>4.2</v>
      </c>
      <c r="K38" s="19">
        <v>37</v>
      </c>
      <c r="L38" s="14">
        <f>ROUNDDOWN(H2,-3)</f>
        <v>107000</v>
      </c>
    </row>
    <row r="39" spans="1:12" x14ac:dyDescent="0.25">
      <c r="A39" s="1">
        <v>38</v>
      </c>
      <c r="B39" s="1" t="s">
        <v>32</v>
      </c>
      <c r="C39" s="1" t="s">
        <v>35</v>
      </c>
      <c r="D39" s="1" t="s">
        <v>77</v>
      </c>
      <c r="E39" s="1" t="s">
        <v>40</v>
      </c>
      <c r="F39" s="1" t="s">
        <v>14</v>
      </c>
      <c r="G39" s="9">
        <v>44382</v>
      </c>
      <c r="H39" s="1">
        <v>70705</v>
      </c>
      <c r="I39" s="1">
        <v>5261</v>
      </c>
      <c r="J39" s="1">
        <v>4</v>
      </c>
      <c r="K39" s="19">
        <v>38</v>
      </c>
      <c r="L39" s="14">
        <f>INT(J2)</f>
        <v>2</v>
      </c>
    </row>
    <row r="40" spans="1:12" x14ac:dyDescent="0.25">
      <c r="A40" s="1">
        <v>39</v>
      </c>
      <c r="B40" s="1" t="s">
        <v>37</v>
      </c>
      <c r="C40" s="1" t="s">
        <v>11</v>
      </c>
      <c r="D40" s="1" t="s">
        <v>78</v>
      </c>
      <c r="E40" s="1" t="s">
        <v>23</v>
      </c>
      <c r="F40" s="1" t="s">
        <v>31</v>
      </c>
      <c r="G40" s="9">
        <v>44450</v>
      </c>
      <c r="H40" s="1">
        <v>58626</v>
      </c>
      <c r="I40" s="1">
        <v>5743</v>
      </c>
      <c r="J40" s="1">
        <v>3.8</v>
      </c>
      <c r="K40" s="19">
        <v>39</v>
      </c>
      <c r="L40" s="14">
        <f>ABS(I2)</f>
        <v>15639</v>
      </c>
    </row>
    <row r="41" spans="1:12" x14ac:dyDescent="0.25">
      <c r="A41" s="1">
        <v>40</v>
      </c>
      <c r="B41" s="1" t="s">
        <v>44</v>
      </c>
      <c r="C41" s="1" t="s">
        <v>25</v>
      </c>
      <c r="D41" s="1" t="s">
        <v>79</v>
      </c>
      <c r="E41" s="1" t="s">
        <v>18</v>
      </c>
      <c r="F41" s="1" t="s">
        <v>27</v>
      </c>
      <c r="G41" s="9">
        <v>43248</v>
      </c>
      <c r="H41" s="1">
        <v>49007</v>
      </c>
      <c r="I41" s="1">
        <v>3709</v>
      </c>
      <c r="J41" s="1">
        <v>4.5</v>
      </c>
      <c r="K41" s="19">
        <v>40</v>
      </c>
      <c r="L41" s="14">
        <f>MOD(H2,1000)</f>
        <v>802</v>
      </c>
    </row>
    <row r="42" spans="1:12" x14ac:dyDescent="0.25">
      <c r="A42" s="1">
        <v>41</v>
      </c>
      <c r="B42" s="1" t="s">
        <v>32</v>
      </c>
      <c r="C42" s="1" t="s">
        <v>21</v>
      </c>
      <c r="D42" s="1" t="s">
        <v>80</v>
      </c>
      <c r="E42" s="1" t="s">
        <v>53</v>
      </c>
      <c r="F42" s="1" t="s">
        <v>14</v>
      </c>
      <c r="G42" s="9">
        <v>43287</v>
      </c>
      <c r="H42" s="1">
        <v>48483</v>
      </c>
      <c r="I42" s="1">
        <v>16850</v>
      </c>
      <c r="J42" s="1">
        <v>3.7</v>
      </c>
      <c r="K42" s="19"/>
      <c r="L42" s="14"/>
    </row>
    <row r="43" spans="1:12" x14ac:dyDescent="0.25">
      <c r="A43" s="1">
        <v>42</v>
      </c>
      <c r="B43" s="1" t="s">
        <v>24</v>
      </c>
      <c r="C43" s="1" t="s">
        <v>25</v>
      </c>
      <c r="D43" s="1" t="s">
        <v>81</v>
      </c>
      <c r="E43" s="1" t="s">
        <v>40</v>
      </c>
      <c r="F43" s="1" t="s">
        <v>14</v>
      </c>
      <c r="G43" s="9">
        <v>44992</v>
      </c>
      <c r="H43" s="1">
        <v>117713</v>
      </c>
      <c r="I43" s="1">
        <v>2585</v>
      </c>
      <c r="J43" s="1">
        <v>2.9</v>
      </c>
      <c r="K43" s="19">
        <v>42</v>
      </c>
      <c r="L43" s="14">
        <f>SQRT(H2)</f>
        <v>328.33214889803281</v>
      </c>
    </row>
    <row r="44" spans="1:12" x14ac:dyDescent="0.25">
      <c r="A44" s="1">
        <v>43</v>
      </c>
      <c r="B44" s="1" t="s">
        <v>44</v>
      </c>
      <c r="C44" s="1" t="s">
        <v>11</v>
      </c>
      <c r="D44" s="1" t="s">
        <v>82</v>
      </c>
      <c r="E44" s="1" t="s">
        <v>18</v>
      </c>
      <c r="F44" s="1" t="s">
        <v>54</v>
      </c>
      <c r="G44" s="9">
        <v>44748</v>
      </c>
      <c r="H44" s="1">
        <v>40245</v>
      </c>
      <c r="I44" s="1">
        <v>14936</v>
      </c>
      <c r="J44" s="1">
        <v>2.7</v>
      </c>
      <c r="K44" s="19">
        <v>43</v>
      </c>
      <c r="L44" s="14">
        <f>SUM($H$2:H2)</f>
        <v>107802</v>
      </c>
    </row>
    <row r="45" spans="1:12" x14ac:dyDescent="0.25">
      <c r="A45" s="1">
        <v>44</v>
      </c>
      <c r="B45" s="1" t="s">
        <v>10</v>
      </c>
      <c r="C45" s="1" t="s">
        <v>41</v>
      </c>
      <c r="D45" s="1" t="s">
        <v>83</v>
      </c>
      <c r="E45" s="1" t="s">
        <v>23</v>
      </c>
      <c r="F45" s="1" t="s">
        <v>14</v>
      </c>
      <c r="G45" s="9">
        <v>43246</v>
      </c>
      <c r="H45" s="1">
        <v>62354</v>
      </c>
      <c r="I45" s="1">
        <v>13672</v>
      </c>
      <c r="J45" s="1">
        <v>2.7</v>
      </c>
      <c r="K45" s="19">
        <v>44</v>
      </c>
      <c r="L45" s="14">
        <f>RANK(H2,H:H,0)</f>
        <v>27</v>
      </c>
    </row>
    <row r="46" spans="1:12" x14ac:dyDescent="0.25">
      <c r="A46" s="1">
        <v>45</v>
      </c>
      <c r="B46" s="1" t="s">
        <v>48</v>
      </c>
      <c r="C46" s="1" t="s">
        <v>41</v>
      </c>
      <c r="D46" s="1" t="s">
        <v>84</v>
      </c>
      <c r="E46" s="1" t="s">
        <v>23</v>
      </c>
      <c r="F46" s="1" t="s">
        <v>27</v>
      </c>
      <c r="G46" s="9">
        <v>43746</v>
      </c>
      <c r="H46" s="1">
        <v>46334</v>
      </c>
      <c r="I46" s="1">
        <v>17224</v>
      </c>
      <c r="J46" s="1">
        <v>4</v>
      </c>
      <c r="K46" s="19"/>
      <c r="L46" s="14"/>
    </row>
    <row r="47" spans="1:12" x14ac:dyDescent="0.25">
      <c r="A47" s="1">
        <v>46</v>
      </c>
      <c r="B47" s="1" t="s">
        <v>24</v>
      </c>
      <c r="C47" s="1" t="s">
        <v>35</v>
      </c>
      <c r="D47" s="1" t="s">
        <v>85</v>
      </c>
      <c r="E47" s="1" t="s">
        <v>23</v>
      </c>
      <c r="F47" s="1" t="s">
        <v>31</v>
      </c>
      <c r="G47" s="9">
        <v>44993</v>
      </c>
      <c r="H47" s="1">
        <v>99874</v>
      </c>
      <c r="I47" s="1">
        <v>8337</v>
      </c>
      <c r="J47" s="1">
        <v>2</v>
      </c>
      <c r="K47" s="19">
        <v>46</v>
      </c>
      <c r="L47" s="14">
        <f>ROW()-1</f>
        <v>46</v>
      </c>
    </row>
    <row r="48" spans="1:12" x14ac:dyDescent="0.25">
      <c r="A48" s="1">
        <v>47</v>
      </c>
      <c r="B48" s="1" t="s">
        <v>34</v>
      </c>
      <c r="C48" s="1" t="s">
        <v>25</v>
      </c>
      <c r="D48" s="1" t="s">
        <v>86</v>
      </c>
      <c r="E48" s="1" t="s">
        <v>40</v>
      </c>
      <c r="F48" s="1" t="s">
        <v>54</v>
      </c>
      <c r="G48" s="9">
        <v>43381</v>
      </c>
      <c r="H48" s="1">
        <v>98155</v>
      </c>
      <c r="I48" s="1">
        <v>6271</v>
      </c>
      <c r="J48" s="1">
        <v>3.3</v>
      </c>
      <c r="K48" s="19">
        <v>47</v>
      </c>
      <c r="L48" s="14">
        <f>COLUMN(H2)</f>
        <v>8</v>
      </c>
    </row>
    <row r="49" spans="1:12" x14ac:dyDescent="0.25">
      <c r="A49" s="1">
        <v>48</v>
      </c>
      <c r="B49" s="1" t="s">
        <v>24</v>
      </c>
      <c r="C49" s="1" t="s">
        <v>38</v>
      </c>
      <c r="D49" s="1" t="s">
        <v>87</v>
      </c>
      <c r="E49" s="1" t="s">
        <v>18</v>
      </c>
      <c r="F49" s="1" t="s">
        <v>19</v>
      </c>
      <c r="G49" s="9">
        <v>43669</v>
      </c>
      <c r="H49" s="1">
        <v>86356</v>
      </c>
      <c r="I49" s="1">
        <v>15889</v>
      </c>
      <c r="J49" s="1">
        <v>2.2000000000000002</v>
      </c>
      <c r="K49" s="19"/>
      <c r="L49" s="14"/>
    </row>
    <row r="50" spans="1:12" x14ac:dyDescent="0.25">
      <c r="A50" s="1">
        <v>49</v>
      </c>
      <c r="B50" s="1" t="s">
        <v>48</v>
      </c>
      <c r="C50" s="1" t="s">
        <v>16</v>
      </c>
      <c r="D50" s="1" t="s">
        <v>88</v>
      </c>
      <c r="E50" s="1" t="s">
        <v>40</v>
      </c>
      <c r="F50" s="1" t="s">
        <v>27</v>
      </c>
      <c r="G50" s="9">
        <v>44854</v>
      </c>
      <c r="H50" s="1">
        <v>32026</v>
      </c>
      <c r="I50" s="1">
        <v>13560</v>
      </c>
      <c r="J50" s="1">
        <v>4.4000000000000004</v>
      </c>
      <c r="K50" s="19">
        <v>49</v>
      </c>
      <c r="L50" s="14">
        <f>H2/SUM(H:H)</f>
        <v>7.2104054252812855E-3</v>
      </c>
    </row>
    <row r="51" spans="1:12" x14ac:dyDescent="0.25">
      <c r="A51" s="1">
        <v>50</v>
      </c>
      <c r="B51" s="1" t="s">
        <v>34</v>
      </c>
      <c r="C51" s="1" t="s">
        <v>21</v>
      </c>
      <c r="D51" s="1" t="s">
        <v>89</v>
      </c>
      <c r="E51" s="1" t="s">
        <v>40</v>
      </c>
      <c r="F51" s="1" t="s">
        <v>27</v>
      </c>
      <c r="G51" s="9">
        <v>43604</v>
      </c>
      <c r="H51" s="1">
        <v>117420</v>
      </c>
      <c r="I51" s="1">
        <v>9002</v>
      </c>
      <c r="J51" s="1">
        <v>3.7</v>
      </c>
      <c r="K51" s="19">
        <v>50</v>
      </c>
      <c r="L51" s="14" t="e">
        <f ca="1">maxifs(H:H,E:E,E2)</f>
        <v>#NAME?</v>
      </c>
    </row>
    <row r="52" spans="1:12" x14ac:dyDescent="0.25">
      <c r="A52" s="1">
        <v>51</v>
      </c>
      <c r="B52" s="1" t="s">
        <v>24</v>
      </c>
      <c r="C52" s="1" t="s">
        <v>35</v>
      </c>
      <c r="D52" s="1" t="s">
        <v>90</v>
      </c>
      <c r="E52" s="1" t="s">
        <v>23</v>
      </c>
      <c r="F52" s="1" t="s">
        <v>31</v>
      </c>
      <c r="G52" s="9">
        <v>43476</v>
      </c>
      <c r="H52" s="1">
        <v>64802</v>
      </c>
      <c r="I52" s="1">
        <v>10721</v>
      </c>
      <c r="J52" s="1">
        <v>2.2999999999999998</v>
      </c>
      <c r="K52" s="19">
        <v>51</v>
      </c>
      <c r="L52" s="14" t="e">
        <f ca="1">MINIFS(H:H,E:E,E2)</f>
        <v>#NAME?</v>
      </c>
    </row>
    <row r="53" spans="1:12" x14ac:dyDescent="0.25">
      <c r="A53" s="1">
        <v>52</v>
      </c>
      <c r="B53" s="1" t="s">
        <v>15</v>
      </c>
      <c r="C53" s="1" t="s">
        <v>25</v>
      </c>
      <c r="D53" s="1" t="s">
        <v>91</v>
      </c>
      <c r="E53" s="1" t="s">
        <v>23</v>
      </c>
      <c r="F53" s="1" t="s">
        <v>31</v>
      </c>
      <c r="G53" s="9">
        <v>44851</v>
      </c>
      <c r="H53" s="1">
        <v>100858</v>
      </c>
      <c r="I53" s="1">
        <v>3137</v>
      </c>
      <c r="J53" s="1">
        <v>4.4000000000000004</v>
      </c>
      <c r="L53" s="14"/>
    </row>
    <row r="54" spans="1:12" x14ac:dyDescent="0.25">
      <c r="A54" s="1">
        <v>53</v>
      </c>
      <c r="B54" s="1" t="s">
        <v>48</v>
      </c>
      <c r="C54" s="1" t="s">
        <v>11</v>
      </c>
      <c r="D54" s="1" t="s">
        <v>92</v>
      </c>
      <c r="E54" s="1" t="s">
        <v>23</v>
      </c>
      <c r="F54" s="1" t="s">
        <v>19</v>
      </c>
      <c r="G54" s="9">
        <v>45063</v>
      </c>
      <c r="H54" s="1">
        <v>106706</v>
      </c>
      <c r="I54" s="1">
        <v>3256</v>
      </c>
      <c r="J54" s="1">
        <v>3.1</v>
      </c>
      <c r="L54" s="14"/>
    </row>
    <row r="55" spans="1:12" x14ac:dyDescent="0.25">
      <c r="A55" s="1">
        <v>54</v>
      </c>
      <c r="B55" s="1" t="s">
        <v>37</v>
      </c>
      <c r="C55" s="1" t="s">
        <v>16</v>
      </c>
      <c r="D55" s="1" t="s">
        <v>93</v>
      </c>
      <c r="E55" s="1" t="s">
        <v>18</v>
      </c>
      <c r="F55" s="1" t="s">
        <v>46</v>
      </c>
      <c r="G55" s="9">
        <v>44230</v>
      </c>
      <c r="H55" s="1">
        <v>111957</v>
      </c>
      <c r="I55" s="1">
        <v>8215</v>
      </c>
      <c r="J55" s="1">
        <v>3.4</v>
      </c>
      <c r="L55" s="14"/>
    </row>
    <row r="56" spans="1:12" x14ac:dyDescent="0.25">
      <c r="A56" s="1">
        <v>55</v>
      </c>
      <c r="B56" s="1" t="s">
        <v>15</v>
      </c>
      <c r="C56" s="1" t="s">
        <v>25</v>
      </c>
      <c r="D56" s="1" t="s">
        <v>94</v>
      </c>
      <c r="E56" s="1" t="s">
        <v>53</v>
      </c>
      <c r="F56" s="1" t="s">
        <v>46</v>
      </c>
      <c r="G56" s="9">
        <v>44255</v>
      </c>
      <c r="H56" s="1">
        <v>94526</v>
      </c>
      <c r="I56" s="1">
        <v>4494</v>
      </c>
      <c r="J56" s="1">
        <v>2.6</v>
      </c>
      <c r="L56" s="14"/>
    </row>
    <row r="57" spans="1:12" x14ac:dyDescent="0.25">
      <c r="A57" s="1">
        <v>56</v>
      </c>
      <c r="B57" s="1" t="s">
        <v>20</v>
      </c>
      <c r="C57" s="1" t="s">
        <v>38</v>
      </c>
      <c r="D57" s="1" t="s">
        <v>95</v>
      </c>
      <c r="E57" s="1" t="s">
        <v>13</v>
      </c>
      <c r="F57" s="1" t="s">
        <v>54</v>
      </c>
      <c r="G57" s="9">
        <v>43286</v>
      </c>
      <c r="H57" s="1">
        <v>43653</v>
      </c>
      <c r="I57" s="1">
        <v>2121</v>
      </c>
      <c r="J57" s="1">
        <v>4.2</v>
      </c>
      <c r="L57" s="14"/>
    </row>
    <row r="58" spans="1:12" x14ac:dyDescent="0.25">
      <c r="A58" s="1">
        <v>57</v>
      </c>
      <c r="B58" s="1" t="s">
        <v>48</v>
      </c>
      <c r="C58" s="1" t="s">
        <v>41</v>
      </c>
      <c r="D58" s="1" t="s">
        <v>96</v>
      </c>
      <c r="E58" s="1" t="s">
        <v>13</v>
      </c>
      <c r="F58" s="1" t="s">
        <v>27</v>
      </c>
      <c r="G58" s="9">
        <v>44329</v>
      </c>
      <c r="H58" s="1">
        <v>88485</v>
      </c>
      <c r="I58" s="1">
        <v>4321</v>
      </c>
      <c r="J58" s="1">
        <v>3.9</v>
      </c>
      <c r="L58" s="14"/>
    </row>
    <row r="59" spans="1:12" x14ac:dyDescent="0.25">
      <c r="A59" s="1">
        <v>58</v>
      </c>
      <c r="B59" s="1" t="s">
        <v>44</v>
      </c>
      <c r="C59" s="1" t="s">
        <v>16</v>
      </c>
      <c r="D59" s="1" t="s">
        <v>97</v>
      </c>
      <c r="E59" s="1" t="s">
        <v>29</v>
      </c>
      <c r="F59" s="1" t="s">
        <v>31</v>
      </c>
      <c r="G59" s="9">
        <v>44612</v>
      </c>
      <c r="H59" s="1">
        <v>36285</v>
      </c>
      <c r="I59" s="1">
        <v>15501</v>
      </c>
      <c r="J59" s="1">
        <v>3.2</v>
      </c>
      <c r="L59" s="14"/>
    </row>
    <row r="60" spans="1:12" x14ac:dyDescent="0.25">
      <c r="A60" s="1">
        <v>59</v>
      </c>
      <c r="B60" s="1" t="s">
        <v>37</v>
      </c>
      <c r="C60" s="1" t="s">
        <v>35</v>
      </c>
      <c r="D60" s="1" t="s">
        <v>98</v>
      </c>
      <c r="E60" s="1" t="s">
        <v>18</v>
      </c>
      <c r="F60" s="1" t="s">
        <v>19</v>
      </c>
      <c r="G60" s="9">
        <v>45088</v>
      </c>
      <c r="H60" s="1">
        <v>30766</v>
      </c>
      <c r="I60" s="1">
        <v>9820</v>
      </c>
      <c r="J60" s="1">
        <v>4</v>
      </c>
      <c r="L60" s="14"/>
    </row>
    <row r="61" spans="1:12" x14ac:dyDescent="0.25">
      <c r="A61" s="1">
        <v>60</v>
      </c>
      <c r="B61" s="1" t="s">
        <v>34</v>
      </c>
      <c r="C61" s="1" t="s">
        <v>38</v>
      </c>
      <c r="D61" s="1" t="s">
        <v>99</v>
      </c>
      <c r="E61" s="1" t="s">
        <v>18</v>
      </c>
      <c r="F61" s="1" t="s">
        <v>54</v>
      </c>
      <c r="G61" s="9">
        <v>43302</v>
      </c>
      <c r="H61" s="1">
        <v>89427</v>
      </c>
      <c r="I61" s="1">
        <v>10825</v>
      </c>
      <c r="J61" s="1">
        <v>3.6</v>
      </c>
      <c r="L61" s="14"/>
    </row>
    <row r="62" spans="1:12" x14ac:dyDescent="0.25">
      <c r="A62" s="1">
        <v>61</v>
      </c>
      <c r="B62" s="1" t="s">
        <v>48</v>
      </c>
      <c r="C62" s="1" t="s">
        <v>41</v>
      </c>
      <c r="D62" s="1" t="s">
        <v>100</v>
      </c>
      <c r="E62" s="1" t="s">
        <v>53</v>
      </c>
      <c r="F62" s="1" t="s">
        <v>19</v>
      </c>
      <c r="G62" s="9">
        <v>45081</v>
      </c>
      <c r="H62" s="1">
        <v>104800</v>
      </c>
      <c r="I62" s="1">
        <v>2495</v>
      </c>
      <c r="J62" s="1">
        <v>3.4</v>
      </c>
      <c r="L62" s="14"/>
    </row>
    <row r="63" spans="1:12" x14ac:dyDescent="0.25">
      <c r="A63" s="1">
        <v>62</v>
      </c>
      <c r="B63" s="1" t="s">
        <v>24</v>
      </c>
      <c r="C63" s="1" t="s">
        <v>25</v>
      </c>
      <c r="D63" s="1" t="s">
        <v>101</v>
      </c>
      <c r="E63" s="1" t="s">
        <v>29</v>
      </c>
      <c r="F63" s="1" t="s">
        <v>54</v>
      </c>
      <c r="G63" s="9">
        <v>43351</v>
      </c>
      <c r="H63" s="1">
        <v>70774</v>
      </c>
      <c r="I63" s="1">
        <v>18694</v>
      </c>
      <c r="J63" s="1">
        <v>3</v>
      </c>
      <c r="L63" s="14"/>
    </row>
    <row r="64" spans="1:12" x14ac:dyDescent="0.25">
      <c r="A64" s="1">
        <v>63</v>
      </c>
      <c r="B64" s="1" t="s">
        <v>44</v>
      </c>
      <c r="C64" s="1" t="s">
        <v>41</v>
      </c>
      <c r="D64" s="1" t="s">
        <v>102</v>
      </c>
      <c r="E64" s="1" t="s">
        <v>18</v>
      </c>
      <c r="F64" s="1" t="s">
        <v>19</v>
      </c>
      <c r="G64" s="9">
        <v>44208</v>
      </c>
      <c r="H64" s="1">
        <v>62918</v>
      </c>
      <c r="I64" s="1">
        <v>16747</v>
      </c>
      <c r="J64" s="1">
        <v>3.5</v>
      </c>
      <c r="L64" s="14"/>
    </row>
    <row r="65" spans="1:12" x14ac:dyDescent="0.25">
      <c r="A65" s="1">
        <v>64</v>
      </c>
      <c r="B65" s="1" t="s">
        <v>56</v>
      </c>
      <c r="C65" s="1" t="s">
        <v>38</v>
      </c>
      <c r="D65" s="1" t="s">
        <v>103</v>
      </c>
      <c r="E65" s="1" t="s">
        <v>40</v>
      </c>
      <c r="F65" s="1" t="s">
        <v>46</v>
      </c>
      <c r="G65" s="9">
        <v>44034</v>
      </c>
      <c r="H65" s="1">
        <v>79414</v>
      </c>
      <c r="I65" s="1">
        <v>10410</v>
      </c>
      <c r="J65" s="1">
        <v>4.8</v>
      </c>
      <c r="L65" s="14"/>
    </row>
    <row r="66" spans="1:12" x14ac:dyDescent="0.25">
      <c r="A66" s="1">
        <v>65</v>
      </c>
      <c r="B66" s="1" t="s">
        <v>34</v>
      </c>
      <c r="C66" s="1" t="s">
        <v>35</v>
      </c>
      <c r="D66" s="1" t="s">
        <v>104</v>
      </c>
      <c r="E66" s="1" t="s">
        <v>13</v>
      </c>
      <c r="F66" s="1" t="s">
        <v>46</v>
      </c>
      <c r="G66" s="9">
        <v>44034</v>
      </c>
      <c r="H66" s="1">
        <v>71521</v>
      </c>
      <c r="I66" s="1">
        <v>10188</v>
      </c>
      <c r="J66" s="1">
        <v>4.8</v>
      </c>
      <c r="L66" s="14"/>
    </row>
    <row r="67" spans="1:12" x14ac:dyDescent="0.25">
      <c r="A67" s="1">
        <v>66</v>
      </c>
      <c r="B67" s="1" t="s">
        <v>37</v>
      </c>
      <c r="C67" s="1" t="s">
        <v>25</v>
      </c>
      <c r="D67" s="1" t="s">
        <v>105</v>
      </c>
      <c r="E67" s="1" t="s">
        <v>13</v>
      </c>
      <c r="F67" s="1" t="s">
        <v>31</v>
      </c>
      <c r="G67" s="9">
        <v>44983</v>
      </c>
      <c r="H67" s="1">
        <v>76643</v>
      </c>
      <c r="I67" s="1">
        <v>16690</v>
      </c>
      <c r="J67" s="1">
        <v>4.2</v>
      </c>
      <c r="L67" s="14"/>
    </row>
    <row r="68" spans="1:12" x14ac:dyDescent="0.25">
      <c r="A68" s="1">
        <v>67</v>
      </c>
      <c r="B68" s="1" t="s">
        <v>24</v>
      </c>
      <c r="C68" s="1" t="s">
        <v>35</v>
      </c>
      <c r="D68" s="1" t="s">
        <v>106</v>
      </c>
      <c r="E68" s="1" t="s">
        <v>23</v>
      </c>
      <c r="F68" s="1" t="s">
        <v>14</v>
      </c>
      <c r="G68" s="9">
        <v>43741</v>
      </c>
      <c r="H68" s="1">
        <v>71809</v>
      </c>
      <c r="I68" s="1">
        <v>3788</v>
      </c>
      <c r="J68" s="1">
        <v>2.6</v>
      </c>
      <c r="L68" s="14"/>
    </row>
    <row r="69" spans="1:12" x14ac:dyDescent="0.25">
      <c r="A69" s="1">
        <v>68</v>
      </c>
      <c r="B69" s="1" t="s">
        <v>32</v>
      </c>
      <c r="C69" s="1" t="s">
        <v>21</v>
      </c>
      <c r="D69" s="1" t="s">
        <v>107</v>
      </c>
      <c r="E69" s="1" t="s">
        <v>13</v>
      </c>
      <c r="F69" s="1" t="s">
        <v>14</v>
      </c>
      <c r="G69" s="9">
        <v>44388</v>
      </c>
      <c r="H69" s="1">
        <v>75528</v>
      </c>
      <c r="I69" s="1">
        <v>2738</v>
      </c>
      <c r="J69" s="1">
        <v>4.3</v>
      </c>
      <c r="L69" s="14"/>
    </row>
    <row r="70" spans="1:12" x14ac:dyDescent="0.25">
      <c r="A70" s="1">
        <v>69</v>
      </c>
      <c r="B70" s="1" t="s">
        <v>32</v>
      </c>
      <c r="C70" s="1" t="s">
        <v>21</v>
      </c>
      <c r="D70" s="1" t="s">
        <v>108</v>
      </c>
      <c r="E70" s="1" t="s">
        <v>18</v>
      </c>
      <c r="F70" s="1" t="s">
        <v>19</v>
      </c>
      <c r="G70" s="9">
        <v>43916</v>
      </c>
      <c r="H70" s="1">
        <v>71794</v>
      </c>
      <c r="I70" s="1">
        <v>18831</v>
      </c>
      <c r="J70" s="1">
        <v>3.7</v>
      </c>
      <c r="L70" s="14"/>
    </row>
    <row r="71" spans="1:12" x14ac:dyDescent="0.25">
      <c r="A71" s="1">
        <v>70</v>
      </c>
      <c r="B71" s="1" t="s">
        <v>34</v>
      </c>
      <c r="C71" s="1" t="s">
        <v>64</v>
      </c>
      <c r="D71" s="1" t="s">
        <v>109</v>
      </c>
      <c r="E71" s="1" t="s">
        <v>29</v>
      </c>
      <c r="F71" s="1" t="s">
        <v>27</v>
      </c>
      <c r="G71" s="9">
        <v>45056</v>
      </c>
      <c r="H71" s="1">
        <v>81762</v>
      </c>
      <c r="I71" s="1">
        <v>4891</v>
      </c>
      <c r="J71" s="1">
        <v>2.4</v>
      </c>
      <c r="L71" s="14"/>
    </row>
    <row r="72" spans="1:12" x14ac:dyDescent="0.25">
      <c r="A72" s="1">
        <v>71</v>
      </c>
      <c r="B72" s="1" t="s">
        <v>24</v>
      </c>
      <c r="C72" s="1" t="s">
        <v>11</v>
      </c>
      <c r="D72" s="1" t="s">
        <v>110</v>
      </c>
      <c r="E72" s="1" t="s">
        <v>23</v>
      </c>
      <c r="F72" s="1" t="s">
        <v>31</v>
      </c>
      <c r="G72" s="9">
        <v>44961</v>
      </c>
      <c r="H72" s="1">
        <v>108559</v>
      </c>
      <c r="I72" s="1">
        <v>19751</v>
      </c>
      <c r="J72" s="1">
        <v>3.5</v>
      </c>
      <c r="L72" s="14"/>
    </row>
    <row r="73" spans="1:12" x14ac:dyDescent="0.25">
      <c r="A73" s="1">
        <v>72</v>
      </c>
      <c r="B73" s="1" t="s">
        <v>10</v>
      </c>
      <c r="C73" s="1" t="s">
        <v>41</v>
      </c>
      <c r="D73" s="1" t="s">
        <v>111</v>
      </c>
      <c r="E73" s="1" t="s">
        <v>23</v>
      </c>
      <c r="F73" s="1" t="s">
        <v>31</v>
      </c>
      <c r="G73" s="9">
        <v>44498</v>
      </c>
      <c r="H73" s="1">
        <v>93869</v>
      </c>
      <c r="I73" s="1">
        <v>18658</v>
      </c>
      <c r="J73" s="1">
        <v>4.8</v>
      </c>
      <c r="L73" s="14"/>
    </row>
    <row r="74" spans="1:12" x14ac:dyDescent="0.25">
      <c r="A74" s="1">
        <v>73</v>
      </c>
      <c r="B74" s="1" t="s">
        <v>37</v>
      </c>
      <c r="C74" s="1" t="s">
        <v>11</v>
      </c>
      <c r="D74" s="1" t="s">
        <v>112</v>
      </c>
      <c r="E74" s="1" t="s">
        <v>23</v>
      </c>
      <c r="F74" s="1" t="s">
        <v>54</v>
      </c>
      <c r="G74" s="9">
        <v>43236</v>
      </c>
      <c r="H74" s="1">
        <v>74806</v>
      </c>
      <c r="I74" s="1">
        <v>17348</v>
      </c>
      <c r="J74" s="1">
        <v>3.6</v>
      </c>
      <c r="L74" s="14"/>
    </row>
    <row r="75" spans="1:12" x14ac:dyDescent="0.25">
      <c r="A75" s="1">
        <v>74</v>
      </c>
      <c r="B75" s="1" t="s">
        <v>34</v>
      </c>
      <c r="C75" s="1" t="s">
        <v>35</v>
      </c>
      <c r="D75" s="1" t="s">
        <v>113</v>
      </c>
      <c r="E75" s="1" t="s">
        <v>18</v>
      </c>
      <c r="F75" s="1" t="s">
        <v>54</v>
      </c>
      <c r="G75" s="9">
        <v>43277</v>
      </c>
      <c r="H75" s="1">
        <v>91270</v>
      </c>
      <c r="I75" s="1">
        <v>13243</v>
      </c>
      <c r="J75" s="1">
        <v>2.2999999999999998</v>
      </c>
      <c r="L75" s="14"/>
    </row>
    <row r="76" spans="1:12" x14ac:dyDescent="0.25">
      <c r="A76" s="1">
        <v>75</v>
      </c>
      <c r="B76" s="1" t="s">
        <v>20</v>
      </c>
      <c r="C76" s="1" t="s">
        <v>41</v>
      </c>
      <c r="D76" s="1" t="s">
        <v>114</v>
      </c>
      <c r="E76" s="1" t="s">
        <v>23</v>
      </c>
      <c r="F76" s="1" t="s">
        <v>54</v>
      </c>
      <c r="G76" s="9">
        <v>43427</v>
      </c>
      <c r="H76" s="1">
        <v>50281</v>
      </c>
      <c r="I76" s="1">
        <v>12535</v>
      </c>
      <c r="J76" s="1">
        <v>3.1</v>
      </c>
      <c r="L76" s="14"/>
    </row>
    <row r="77" spans="1:12" x14ac:dyDescent="0.25">
      <c r="A77" s="1">
        <v>76</v>
      </c>
      <c r="B77" s="1" t="s">
        <v>48</v>
      </c>
      <c r="C77" s="1" t="s">
        <v>41</v>
      </c>
      <c r="D77" s="1" t="s">
        <v>115</v>
      </c>
      <c r="E77" s="1" t="s">
        <v>13</v>
      </c>
      <c r="F77" s="1" t="s">
        <v>46</v>
      </c>
      <c r="G77" s="9">
        <v>45018</v>
      </c>
      <c r="H77" s="1">
        <v>86407</v>
      </c>
      <c r="I77" s="1">
        <v>8490</v>
      </c>
      <c r="J77" s="1">
        <v>4.3</v>
      </c>
      <c r="L77" s="14"/>
    </row>
    <row r="78" spans="1:12" x14ac:dyDescent="0.25">
      <c r="A78" s="1">
        <v>77</v>
      </c>
      <c r="B78" s="1" t="s">
        <v>24</v>
      </c>
      <c r="C78" s="1" t="s">
        <v>38</v>
      </c>
      <c r="D78" s="1" t="s">
        <v>116</v>
      </c>
      <c r="E78" s="1" t="s">
        <v>40</v>
      </c>
      <c r="F78" s="1" t="s">
        <v>14</v>
      </c>
      <c r="G78" s="9">
        <v>43257</v>
      </c>
      <c r="H78" s="1">
        <v>107314</v>
      </c>
      <c r="I78" s="1">
        <v>16999</v>
      </c>
      <c r="J78" s="1">
        <v>4.7</v>
      </c>
      <c r="L78" s="14"/>
    </row>
    <row r="79" spans="1:12" x14ac:dyDescent="0.25">
      <c r="A79" s="1">
        <v>78</v>
      </c>
      <c r="B79" s="1" t="s">
        <v>56</v>
      </c>
      <c r="C79" s="1" t="s">
        <v>38</v>
      </c>
      <c r="D79" s="1" t="s">
        <v>117</v>
      </c>
      <c r="E79" s="1" t="s">
        <v>23</v>
      </c>
      <c r="F79" s="1" t="s">
        <v>27</v>
      </c>
      <c r="G79" s="9">
        <v>44740</v>
      </c>
      <c r="H79" s="1">
        <v>67820</v>
      </c>
      <c r="I79" s="1">
        <v>19285</v>
      </c>
      <c r="J79" s="1">
        <v>3.7</v>
      </c>
      <c r="L79" s="14"/>
    </row>
    <row r="80" spans="1:12" x14ac:dyDescent="0.25">
      <c r="A80" s="1">
        <v>79</v>
      </c>
      <c r="B80" s="1" t="s">
        <v>56</v>
      </c>
      <c r="C80" s="1" t="s">
        <v>41</v>
      </c>
      <c r="D80" s="1" t="s">
        <v>118</v>
      </c>
      <c r="E80" s="1" t="s">
        <v>29</v>
      </c>
      <c r="F80" s="1" t="s">
        <v>14</v>
      </c>
      <c r="G80" s="9">
        <v>43988</v>
      </c>
      <c r="H80" s="1">
        <v>102384</v>
      </c>
      <c r="I80" s="1">
        <v>15477</v>
      </c>
      <c r="J80" s="1">
        <v>2.2000000000000002</v>
      </c>
      <c r="L80" s="14"/>
    </row>
    <row r="81" spans="1:12" x14ac:dyDescent="0.25">
      <c r="A81" s="1">
        <v>80</v>
      </c>
      <c r="B81" s="1" t="s">
        <v>44</v>
      </c>
      <c r="C81" s="1" t="s">
        <v>38</v>
      </c>
      <c r="D81" s="1" t="s">
        <v>119</v>
      </c>
      <c r="E81" s="1" t="s">
        <v>13</v>
      </c>
      <c r="F81" s="1" t="s">
        <v>46</v>
      </c>
      <c r="G81" s="9">
        <v>45047</v>
      </c>
      <c r="H81" s="1">
        <v>54816</v>
      </c>
      <c r="I81" s="1">
        <v>10941</v>
      </c>
      <c r="J81" s="1">
        <v>3.9</v>
      </c>
      <c r="L81" s="14"/>
    </row>
    <row r="82" spans="1:12" x14ac:dyDescent="0.25">
      <c r="A82" s="1">
        <v>81</v>
      </c>
      <c r="B82" s="1" t="s">
        <v>48</v>
      </c>
      <c r="C82" s="1" t="s">
        <v>38</v>
      </c>
      <c r="D82" s="1" t="s">
        <v>120</v>
      </c>
      <c r="E82" s="1" t="s">
        <v>40</v>
      </c>
      <c r="F82" s="1" t="s">
        <v>31</v>
      </c>
      <c r="G82" s="9">
        <v>43560</v>
      </c>
      <c r="H82" s="1">
        <v>44330</v>
      </c>
      <c r="I82" s="1">
        <v>10937</v>
      </c>
      <c r="J82" s="1">
        <v>2.7</v>
      </c>
      <c r="L82" s="14"/>
    </row>
    <row r="83" spans="1:12" x14ac:dyDescent="0.25">
      <c r="A83" s="1">
        <v>82</v>
      </c>
      <c r="B83" s="1" t="s">
        <v>48</v>
      </c>
      <c r="C83" s="1" t="s">
        <v>38</v>
      </c>
      <c r="D83" s="1" t="s">
        <v>121</v>
      </c>
      <c r="E83" s="1" t="s">
        <v>13</v>
      </c>
      <c r="F83" s="1" t="s">
        <v>31</v>
      </c>
      <c r="G83" s="9">
        <v>43404</v>
      </c>
      <c r="H83" s="1">
        <v>95836</v>
      </c>
      <c r="I83" s="1">
        <v>12660</v>
      </c>
      <c r="J83" s="1">
        <v>2.5</v>
      </c>
      <c r="L83" s="14"/>
    </row>
    <row r="84" spans="1:12" x14ac:dyDescent="0.25">
      <c r="A84" s="1">
        <v>83</v>
      </c>
      <c r="B84" s="1" t="s">
        <v>34</v>
      </c>
      <c r="C84" s="1" t="s">
        <v>25</v>
      </c>
      <c r="D84" s="1" t="s">
        <v>122</v>
      </c>
      <c r="E84" s="1" t="s">
        <v>40</v>
      </c>
      <c r="F84" s="1" t="s">
        <v>14</v>
      </c>
      <c r="G84" s="9">
        <v>44937</v>
      </c>
      <c r="H84" s="1">
        <v>69692</v>
      </c>
      <c r="I84" s="1">
        <v>7032</v>
      </c>
      <c r="J84" s="1">
        <v>2.6</v>
      </c>
      <c r="L84" s="14"/>
    </row>
    <row r="85" spans="1:12" x14ac:dyDescent="0.25">
      <c r="A85" s="1">
        <v>84</v>
      </c>
      <c r="B85" s="1" t="s">
        <v>48</v>
      </c>
      <c r="C85" s="1" t="s">
        <v>38</v>
      </c>
      <c r="D85" s="1" t="s">
        <v>123</v>
      </c>
      <c r="E85" s="1" t="s">
        <v>13</v>
      </c>
      <c r="F85" s="1" t="s">
        <v>14</v>
      </c>
      <c r="G85" s="9">
        <v>43856</v>
      </c>
      <c r="H85" s="1">
        <v>88622</v>
      </c>
      <c r="I85" s="1">
        <v>18689</v>
      </c>
      <c r="J85" s="1">
        <v>2.5</v>
      </c>
      <c r="L85" s="14"/>
    </row>
    <row r="86" spans="1:12" x14ac:dyDescent="0.25">
      <c r="A86" s="1">
        <v>85</v>
      </c>
      <c r="B86" s="1" t="s">
        <v>20</v>
      </c>
      <c r="C86" s="1" t="s">
        <v>16</v>
      </c>
      <c r="D86" s="1" t="s">
        <v>124</v>
      </c>
      <c r="E86" s="1" t="s">
        <v>29</v>
      </c>
      <c r="F86" s="1" t="s">
        <v>31</v>
      </c>
      <c r="G86" s="9">
        <v>43794</v>
      </c>
      <c r="H86" s="1">
        <v>96796</v>
      </c>
      <c r="I86" s="1">
        <v>18953</v>
      </c>
      <c r="J86" s="1">
        <v>4.2</v>
      </c>
      <c r="L86" s="14"/>
    </row>
    <row r="87" spans="1:12" x14ac:dyDescent="0.25">
      <c r="A87" s="1">
        <v>86</v>
      </c>
      <c r="B87" s="1" t="s">
        <v>44</v>
      </c>
      <c r="C87" s="1" t="s">
        <v>35</v>
      </c>
      <c r="D87" s="1" t="s">
        <v>125</v>
      </c>
      <c r="E87" s="1" t="s">
        <v>53</v>
      </c>
      <c r="F87" s="1" t="s">
        <v>46</v>
      </c>
      <c r="G87" s="9">
        <v>44243</v>
      </c>
      <c r="H87" s="1">
        <v>48123</v>
      </c>
      <c r="I87" s="1">
        <v>16606</v>
      </c>
      <c r="J87" s="1">
        <v>4.5</v>
      </c>
      <c r="L87" s="14"/>
    </row>
    <row r="88" spans="1:12" x14ac:dyDescent="0.25">
      <c r="A88" s="1">
        <v>87</v>
      </c>
      <c r="B88" s="1" t="s">
        <v>48</v>
      </c>
      <c r="C88" s="1" t="s">
        <v>41</v>
      </c>
      <c r="D88" s="1" t="s">
        <v>126</v>
      </c>
      <c r="E88" s="1" t="s">
        <v>53</v>
      </c>
      <c r="F88" s="1" t="s">
        <v>31</v>
      </c>
      <c r="G88" s="9">
        <v>44792</v>
      </c>
      <c r="H88" s="1">
        <v>94428</v>
      </c>
      <c r="I88" s="1">
        <v>13761</v>
      </c>
      <c r="J88" s="1">
        <v>3.3</v>
      </c>
      <c r="L88" s="14"/>
    </row>
    <row r="89" spans="1:12" x14ac:dyDescent="0.25">
      <c r="A89" s="1">
        <v>88</v>
      </c>
      <c r="B89" s="1" t="s">
        <v>44</v>
      </c>
      <c r="C89" s="1" t="s">
        <v>25</v>
      </c>
      <c r="D89" s="1" t="s">
        <v>127</v>
      </c>
      <c r="E89" s="1" t="s">
        <v>23</v>
      </c>
      <c r="F89" s="1" t="s">
        <v>19</v>
      </c>
      <c r="G89" s="9">
        <v>43154</v>
      </c>
      <c r="H89" s="1">
        <v>40706</v>
      </c>
      <c r="I89" s="1">
        <v>4673</v>
      </c>
      <c r="J89" s="1">
        <v>3.2</v>
      </c>
      <c r="L89" s="14"/>
    </row>
    <row r="90" spans="1:12" x14ac:dyDescent="0.25">
      <c r="A90" s="1">
        <v>89</v>
      </c>
      <c r="B90" s="1" t="s">
        <v>37</v>
      </c>
      <c r="C90" s="1" t="s">
        <v>25</v>
      </c>
      <c r="D90" s="1" t="s">
        <v>128</v>
      </c>
      <c r="E90" s="1" t="s">
        <v>23</v>
      </c>
      <c r="F90" s="1" t="s">
        <v>54</v>
      </c>
      <c r="G90" s="9">
        <v>44295</v>
      </c>
      <c r="H90" s="1">
        <v>105821</v>
      </c>
      <c r="I90" s="1">
        <v>17627</v>
      </c>
      <c r="J90" s="1">
        <v>2.9</v>
      </c>
      <c r="L90" s="14"/>
    </row>
    <row r="91" spans="1:12" x14ac:dyDescent="0.25">
      <c r="A91" s="1">
        <v>90</v>
      </c>
      <c r="B91" s="1" t="s">
        <v>32</v>
      </c>
      <c r="C91" s="1" t="s">
        <v>16</v>
      </c>
      <c r="D91" s="1" t="s">
        <v>129</v>
      </c>
      <c r="E91" s="1" t="s">
        <v>23</v>
      </c>
      <c r="F91" s="1" t="s">
        <v>19</v>
      </c>
      <c r="G91" s="9">
        <v>44579</v>
      </c>
      <c r="H91" s="1">
        <v>42533</v>
      </c>
      <c r="I91" s="1">
        <v>12002</v>
      </c>
      <c r="J91" s="1">
        <v>2.7</v>
      </c>
      <c r="L91" s="14"/>
    </row>
    <row r="92" spans="1:12" x14ac:dyDescent="0.25">
      <c r="A92" s="1">
        <v>91</v>
      </c>
      <c r="B92" s="1" t="s">
        <v>32</v>
      </c>
      <c r="C92" s="1" t="s">
        <v>64</v>
      </c>
      <c r="D92" s="1" t="s">
        <v>130</v>
      </c>
      <c r="E92" s="1" t="s">
        <v>53</v>
      </c>
      <c r="F92" s="1" t="s">
        <v>54</v>
      </c>
      <c r="G92" s="9">
        <v>43197</v>
      </c>
      <c r="H92" s="1">
        <v>82282</v>
      </c>
      <c r="I92" s="1">
        <v>14242</v>
      </c>
      <c r="J92" s="1">
        <v>4.3</v>
      </c>
      <c r="L92" s="14"/>
    </row>
    <row r="93" spans="1:12" x14ac:dyDescent="0.25">
      <c r="A93" s="1">
        <v>92</v>
      </c>
      <c r="B93" s="1" t="s">
        <v>24</v>
      </c>
      <c r="C93" s="1" t="s">
        <v>64</v>
      </c>
      <c r="D93" s="1" t="s">
        <v>131</v>
      </c>
      <c r="E93" s="1" t="s">
        <v>23</v>
      </c>
      <c r="F93" s="1" t="s">
        <v>46</v>
      </c>
      <c r="G93" s="9">
        <v>44054</v>
      </c>
      <c r="H93" s="1">
        <v>69809</v>
      </c>
      <c r="I93" s="1">
        <v>8299</v>
      </c>
      <c r="J93" s="1">
        <v>2.2000000000000002</v>
      </c>
      <c r="L93" s="14"/>
    </row>
    <row r="94" spans="1:12" x14ac:dyDescent="0.25">
      <c r="A94" s="1">
        <v>93</v>
      </c>
      <c r="B94" s="1" t="s">
        <v>48</v>
      </c>
      <c r="C94" s="1" t="s">
        <v>41</v>
      </c>
      <c r="D94" s="1" t="s">
        <v>132</v>
      </c>
      <c r="E94" s="1" t="s">
        <v>23</v>
      </c>
      <c r="F94" s="1" t="s">
        <v>19</v>
      </c>
      <c r="G94" s="9">
        <v>43395</v>
      </c>
      <c r="H94" s="1">
        <v>55548</v>
      </c>
      <c r="I94" s="1">
        <v>10456</v>
      </c>
      <c r="J94" s="1">
        <v>4.7</v>
      </c>
      <c r="L94" s="14"/>
    </row>
    <row r="95" spans="1:12" x14ac:dyDescent="0.25">
      <c r="A95" s="1">
        <v>94</v>
      </c>
      <c r="B95" s="1" t="s">
        <v>10</v>
      </c>
      <c r="C95" s="1" t="s">
        <v>64</v>
      </c>
      <c r="D95" s="1" t="s">
        <v>133</v>
      </c>
      <c r="E95" s="1" t="s">
        <v>13</v>
      </c>
      <c r="F95" s="1" t="s">
        <v>27</v>
      </c>
      <c r="G95" s="9">
        <v>44925</v>
      </c>
      <c r="H95" s="1">
        <v>101813</v>
      </c>
      <c r="I95" s="1">
        <v>10463</v>
      </c>
      <c r="J95" s="1">
        <v>4</v>
      </c>
      <c r="L95" s="14"/>
    </row>
    <row r="96" spans="1:12" x14ac:dyDescent="0.25">
      <c r="A96" s="1">
        <v>95</v>
      </c>
      <c r="B96" s="1" t="s">
        <v>48</v>
      </c>
      <c r="C96" s="1" t="s">
        <v>16</v>
      </c>
      <c r="D96" s="1" t="s">
        <v>134</v>
      </c>
      <c r="E96" s="1" t="s">
        <v>53</v>
      </c>
      <c r="F96" s="1" t="s">
        <v>31</v>
      </c>
      <c r="G96" s="9">
        <v>44743</v>
      </c>
      <c r="H96" s="1">
        <v>32883</v>
      </c>
      <c r="I96" s="1">
        <v>8031</v>
      </c>
      <c r="J96" s="1">
        <v>4.0999999999999996</v>
      </c>
      <c r="L96" s="14"/>
    </row>
    <row r="97" spans="1:12" x14ac:dyDescent="0.25">
      <c r="A97" s="1">
        <v>96</v>
      </c>
      <c r="B97" s="1" t="s">
        <v>20</v>
      </c>
      <c r="C97" s="1" t="s">
        <v>11</v>
      </c>
      <c r="D97" s="1" t="s">
        <v>135</v>
      </c>
      <c r="E97" s="1" t="s">
        <v>40</v>
      </c>
      <c r="F97" s="1" t="s">
        <v>31</v>
      </c>
      <c r="G97" s="9">
        <v>43114</v>
      </c>
      <c r="H97" s="1">
        <v>30742</v>
      </c>
      <c r="I97" s="1">
        <v>7079</v>
      </c>
      <c r="J97" s="1">
        <v>4.4000000000000004</v>
      </c>
      <c r="L97" s="14"/>
    </row>
    <row r="98" spans="1:12" x14ac:dyDescent="0.25">
      <c r="A98" s="1">
        <v>97</v>
      </c>
      <c r="B98" s="1" t="s">
        <v>44</v>
      </c>
      <c r="C98" s="1" t="s">
        <v>35</v>
      </c>
      <c r="D98" s="1" t="s">
        <v>136</v>
      </c>
      <c r="E98" s="1" t="s">
        <v>40</v>
      </c>
      <c r="F98" s="1" t="s">
        <v>19</v>
      </c>
      <c r="G98" s="9">
        <v>44745</v>
      </c>
      <c r="H98" s="1">
        <v>108412</v>
      </c>
      <c r="I98" s="1">
        <v>18737</v>
      </c>
      <c r="J98" s="1">
        <v>2.8</v>
      </c>
      <c r="L98" s="14"/>
    </row>
    <row r="99" spans="1:12" x14ac:dyDescent="0.25">
      <c r="A99" s="1">
        <v>98</v>
      </c>
      <c r="B99" s="1" t="s">
        <v>24</v>
      </c>
      <c r="C99" s="1" t="s">
        <v>41</v>
      </c>
      <c r="D99" s="1" t="s">
        <v>137</v>
      </c>
      <c r="E99" s="1" t="s">
        <v>29</v>
      </c>
      <c r="F99" s="1" t="s">
        <v>46</v>
      </c>
      <c r="G99" s="9">
        <v>44563</v>
      </c>
      <c r="H99" s="1">
        <v>91174</v>
      </c>
      <c r="I99" s="1">
        <v>14792</v>
      </c>
      <c r="J99" s="1">
        <v>2.6</v>
      </c>
      <c r="L99" s="14"/>
    </row>
    <row r="100" spans="1:12" x14ac:dyDescent="0.25">
      <c r="A100" s="1">
        <v>99</v>
      </c>
      <c r="B100" s="1" t="s">
        <v>15</v>
      </c>
      <c r="C100" s="1" t="s">
        <v>38</v>
      </c>
      <c r="D100" s="1" t="s">
        <v>138</v>
      </c>
      <c r="E100" s="1" t="s">
        <v>29</v>
      </c>
      <c r="F100" s="1" t="s">
        <v>54</v>
      </c>
      <c r="G100" s="9">
        <v>44535</v>
      </c>
      <c r="H100" s="1">
        <v>90892</v>
      </c>
      <c r="I100" s="1">
        <v>9287</v>
      </c>
      <c r="J100" s="1">
        <v>2.2999999999999998</v>
      </c>
      <c r="L100" s="14"/>
    </row>
    <row r="101" spans="1:12" x14ac:dyDescent="0.25">
      <c r="A101" s="1">
        <v>100</v>
      </c>
      <c r="B101" s="1" t="s">
        <v>34</v>
      </c>
      <c r="C101" s="1" t="s">
        <v>11</v>
      </c>
      <c r="D101" s="1" t="s">
        <v>139</v>
      </c>
      <c r="E101" s="1" t="s">
        <v>18</v>
      </c>
      <c r="F101" s="1" t="s">
        <v>46</v>
      </c>
      <c r="G101" s="9">
        <v>43686</v>
      </c>
      <c r="H101" s="1">
        <v>99995</v>
      </c>
      <c r="I101" s="1">
        <v>16801</v>
      </c>
      <c r="J101" s="1">
        <v>3</v>
      </c>
      <c r="L101" s="14"/>
    </row>
    <row r="102" spans="1:12" x14ac:dyDescent="0.25">
      <c r="A102" s="1">
        <v>101</v>
      </c>
      <c r="B102" s="1" t="s">
        <v>15</v>
      </c>
      <c r="C102" s="1" t="s">
        <v>35</v>
      </c>
      <c r="D102" s="1" t="s">
        <v>140</v>
      </c>
      <c r="E102" s="1" t="s">
        <v>18</v>
      </c>
      <c r="F102" s="1" t="s">
        <v>19</v>
      </c>
      <c r="G102" s="9">
        <v>43697</v>
      </c>
      <c r="H102" s="1">
        <v>108068</v>
      </c>
      <c r="I102" s="1">
        <v>9005</v>
      </c>
      <c r="J102" s="1">
        <v>3.7</v>
      </c>
      <c r="L102" s="14"/>
    </row>
    <row r="103" spans="1:12" x14ac:dyDescent="0.25">
      <c r="A103" s="1">
        <v>102</v>
      </c>
      <c r="B103" s="1" t="s">
        <v>15</v>
      </c>
      <c r="C103" s="1" t="s">
        <v>41</v>
      </c>
      <c r="D103" s="1" t="s">
        <v>141</v>
      </c>
      <c r="E103" s="1" t="s">
        <v>40</v>
      </c>
      <c r="F103" s="1" t="s">
        <v>19</v>
      </c>
      <c r="G103" s="9">
        <v>43490</v>
      </c>
      <c r="H103" s="1">
        <v>47451</v>
      </c>
      <c r="I103" s="1">
        <v>9812</v>
      </c>
      <c r="J103" s="1">
        <v>2.5</v>
      </c>
      <c r="L103" s="14"/>
    </row>
    <row r="104" spans="1:12" x14ac:dyDescent="0.25">
      <c r="A104" s="1">
        <v>103</v>
      </c>
      <c r="B104" s="1" t="s">
        <v>48</v>
      </c>
      <c r="C104" s="1" t="s">
        <v>11</v>
      </c>
      <c r="D104" s="1" t="s">
        <v>142</v>
      </c>
      <c r="E104" s="1" t="s">
        <v>53</v>
      </c>
      <c r="F104" s="1" t="s">
        <v>14</v>
      </c>
      <c r="G104" s="9">
        <v>43724</v>
      </c>
      <c r="H104" s="1">
        <v>48672</v>
      </c>
      <c r="I104" s="1">
        <v>4368</v>
      </c>
      <c r="J104" s="1">
        <v>3.4</v>
      </c>
      <c r="L104" s="14"/>
    </row>
    <row r="105" spans="1:12" x14ac:dyDescent="0.25">
      <c r="A105" s="1">
        <v>104</v>
      </c>
      <c r="B105" s="1" t="s">
        <v>24</v>
      </c>
      <c r="C105" s="1" t="s">
        <v>25</v>
      </c>
      <c r="D105" s="1" t="s">
        <v>143</v>
      </c>
      <c r="E105" s="1" t="s">
        <v>18</v>
      </c>
      <c r="F105" s="1" t="s">
        <v>54</v>
      </c>
      <c r="G105" s="9">
        <v>45083</v>
      </c>
      <c r="H105" s="1">
        <v>43309</v>
      </c>
      <c r="I105" s="1">
        <v>14783</v>
      </c>
      <c r="J105" s="1">
        <v>4.4000000000000004</v>
      </c>
      <c r="L105" s="14"/>
    </row>
    <row r="106" spans="1:12" x14ac:dyDescent="0.25">
      <c r="A106" s="1">
        <v>105</v>
      </c>
      <c r="B106" s="1" t="s">
        <v>44</v>
      </c>
      <c r="C106" s="1" t="s">
        <v>64</v>
      </c>
      <c r="D106" s="1" t="s">
        <v>144</v>
      </c>
      <c r="E106" s="1" t="s">
        <v>53</v>
      </c>
      <c r="F106" s="1" t="s">
        <v>27</v>
      </c>
      <c r="G106" s="9">
        <v>44608</v>
      </c>
      <c r="H106" s="1">
        <v>63592</v>
      </c>
      <c r="I106" s="1">
        <v>17542</v>
      </c>
      <c r="J106" s="1">
        <v>3.5</v>
      </c>
      <c r="L106" s="14"/>
    </row>
    <row r="107" spans="1:12" x14ac:dyDescent="0.25">
      <c r="A107" s="1">
        <v>106</v>
      </c>
      <c r="B107" s="1" t="s">
        <v>48</v>
      </c>
      <c r="C107" s="1" t="s">
        <v>38</v>
      </c>
      <c r="D107" s="1" t="s">
        <v>145</v>
      </c>
      <c r="E107" s="1" t="s">
        <v>13</v>
      </c>
      <c r="F107" s="1" t="s">
        <v>19</v>
      </c>
      <c r="G107" s="9">
        <v>44973</v>
      </c>
      <c r="H107" s="1">
        <v>90349</v>
      </c>
      <c r="I107" s="1">
        <v>3505</v>
      </c>
      <c r="J107" s="1">
        <v>4.8</v>
      </c>
      <c r="L107" s="14"/>
    </row>
    <row r="108" spans="1:12" x14ac:dyDescent="0.25">
      <c r="A108" s="1">
        <v>107</v>
      </c>
      <c r="B108" s="1" t="s">
        <v>37</v>
      </c>
      <c r="C108" s="1" t="s">
        <v>16</v>
      </c>
      <c r="D108" s="1" t="s">
        <v>146</v>
      </c>
      <c r="E108" s="1" t="s">
        <v>13</v>
      </c>
      <c r="F108" s="1" t="s">
        <v>31</v>
      </c>
      <c r="G108" s="9">
        <v>43105</v>
      </c>
      <c r="H108" s="1">
        <v>76724</v>
      </c>
      <c r="I108" s="1">
        <v>6269</v>
      </c>
      <c r="J108" s="1">
        <v>4.8</v>
      </c>
      <c r="L108" s="14"/>
    </row>
    <row r="109" spans="1:12" x14ac:dyDescent="0.25">
      <c r="A109" s="1">
        <v>108</v>
      </c>
      <c r="B109" s="1" t="s">
        <v>32</v>
      </c>
      <c r="C109" s="1" t="s">
        <v>16</v>
      </c>
      <c r="D109" s="1" t="s">
        <v>147</v>
      </c>
      <c r="E109" s="1" t="s">
        <v>18</v>
      </c>
      <c r="F109" s="1" t="s">
        <v>27</v>
      </c>
      <c r="G109" s="9">
        <v>43956</v>
      </c>
      <c r="H109" s="1">
        <v>67040</v>
      </c>
      <c r="I109" s="1">
        <v>12303</v>
      </c>
      <c r="J109" s="1">
        <v>3</v>
      </c>
      <c r="L109" s="14"/>
    </row>
    <row r="110" spans="1:12" x14ac:dyDescent="0.25">
      <c r="A110" s="1">
        <v>109</v>
      </c>
      <c r="B110" s="1" t="s">
        <v>34</v>
      </c>
      <c r="C110" s="1" t="s">
        <v>16</v>
      </c>
      <c r="D110" s="1" t="s">
        <v>148</v>
      </c>
      <c r="E110" s="1" t="s">
        <v>40</v>
      </c>
      <c r="F110" s="1" t="s">
        <v>31</v>
      </c>
      <c r="G110" s="9">
        <v>43796</v>
      </c>
      <c r="H110" s="1">
        <v>31483</v>
      </c>
      <c r="I110" s="1">
        <v>3940</v>
      </c>
      <c r="J110" s="1">
        <v>2.2999999999999998</v>
      </c>
      <c r="L110" s="14"/>
    </row>
    <row r="111" spans="1:12" x14ac:dyDescent="0.25">
      <c r="A111" s="1">
        <v>110</v>
      </c>
      <c r="B111" s="1" t="s">
        <v>20</v>
      </c>
      <c r="C111" s="1" t="s">
        <v>16</v>
      </c>
      <c r="D111" s="1" t="s">
        <v>149</v>
      </c>
      <c r="E111" s="1" t="s">
        <v>53</v>
      </c>
      <c r="F111" s="1" t="s">
        <v>19</v>
      </c>
      <c r="G111" s="9">
        <v>44166</v>
      </c>
      <c r="H111" s="1">
        <v>41993</v>
      </c>
      <c r="I111" s="1">
        <v>17333</v>
      </c>
      <c r="J111" s="1">
        <v>2</v>
      </c>
      <c r="L111" s="14"/>
    </row>
    <row r="112" spans="1:12" x14ac:dyDescent="0.25">
      <c r="A112" s="1">
        <v>111</v>
      </c>
      <c r="B112" s="1" t="s">
        <v>56</v>
      </c>
      <c r="C112" s="1" t="s">
        <v>11</v>
      </c>
      <c r="D112" s="1" t="s">
        <v>150</v>
      </c>
      <c r="E112" s="1" t="s">
        <v>40</v>
      </c>
      <c r="F112" s="1" t="s">
        <v>19</v>
      </c>
      <c r="G112" s="9">
        <v>43554</v>
      </c>
      <c r="H112" s="1">
        <v>111568</v>
      </c>
      <c r="I112" s="1">
        <v>14133</v>
      </c>
      <c r="J112" s="1">
        <v>4.5</v>
      </c>
      <c r="L112" s="14"/>
    </row>
    <row r="113" spans="1:12" x14ac:dyDescent="0.25">
      <c r="A113" s="1">
        <v>112</v>
      </c>
      <c r="B113" s="1" t="s">
        <v>10</v>
      </c>
      <c r="C113" s="1" t="s">
        <v>38</v>
      </c>
      <c r="D113" s="1" t="s">
        <v>151</v>
      </c>
      <c r="E113" s="1" t="s">
        <v>29</v>
      </c>
      <c r="F113" s="1" t="s">
        <v>27</v>
      </c>
      <c r="G113" s="9">
        <v>44207</v>
      </c>
      <c r="H113" s="1">
        <v>100839</v>
      </c>
      <c r="I113" s="1">
        <v>14839</v>
      </c>
      <c r="J113" s="1">
        <v>3.8</v>
      </c>
      <c r="L113" s="14"/>
    </row>
    <row r="114" spans="1:12" x14ac:dyDescent="0.25">
      <c r="A114" s="1">
        <v>113</v>
      </c>
      <c r="B114" s="1" t="s">
        <v>10</v>
      </c>
      <c r="C114" s="1" t="s">
        <v>25</v>
      </c>
      <c r="D114" s="1" t="s">
        <v>152</v>
      </c>
      <c r="E114" s="1" t="s">
        <v>23</v>
      </c>
      <c r="F114" s="1" t="s">
        <v>46</v>
      </c>
      <c r="G114" s="9">
        <v>44422</v>
      </c>
      <c r="H114" s="1">
        <v>105940</v>
      </c>
      <c r="I114" s="1">
        <v>8469</v>
      </c>
      <c r="J114" s="1">
        <v>4.7</v>
      </c>
      <c r="L114" s="14"/>
    </row>
    <row r="115" spans="1:12" x14ac:dyDescent="0.25">
      <c r="A115" s="1">
        <v>114</v>
      </c>
      <c r="B115" s="1" t="s">
        <v>48</v>
      </c>
      <c r="C115" s="1" t="s">
        <v>41</v>
      </c>
      <c r="D115" s="1" t="s">
        <v>153</v>
      </c>
      <c r="E115" s="1" t="s">
        <v>29</v>
      </c>
      <c r="F115" s="1" t="s">
        <v>31</v>
      </c>
      <c r="G115" s="9">
        <v>44813</v>
      </c>
      <c r="H115" s="1">
        <v>101783</v>
      </c>
      <c r="I115" s="1">
        <v>7811</v>
      </c>
      <c r="J115" s="1">
        <v>2.7</v>
      </c>
      <c r="L115" s="14"/>
    </row>
    <row r="116" spans="1:12" x14ac:dyDescent="0.25">
      <c r="A116" s="1">
        <v>115</v>
      </c>
      <c r="B116" s="1" t="s">
        <v>20</v>
      </c>
      <c r="C116" s="1" t="s">
        <v>41</v>
      </c>
      <c r="D116" s="1" t="s">
        <v>154</v>
      </c>
      <c r="E116" s="1" t="s">
        <v>23</v>
      </c>
      <c r="F116" s="1" t="s">
        <v>46</v>
      </c>
      <c r="G116" s="9">
        <v>44130</v>
      </c>
      <c r="H116" s="1">
        <v>104465</v>
      </c>
      <c r="I116" s="1">
        <v>17966</v>
      </c>
      <c r="J116" s="1">
        <v>2.5</v>
      </c>
      <c r="L116" s="14"/>
    </row>
    <row r="117" spans="1:12" x14ac:dyDescent="0.25">
      <c r="A117" s="1">
        <v>116</v>
      </c>
      <c r="B117" s="1" t="s">
        <v>15</v>
      </c>
      <c r="C117" s="1" t="s">
        <v>41</v>
      </c>
      <c r="D117" s="1" t="s">
        <v>155</v>
      </c>
      <c r="E117" s="1" t="s">
        <v>23</v>
      </c>
      <c r="F117" s="1" t="s">
        <v>31</v>
      </c>
      <c r="G117" s="9">
        <v>44903</v>
      </c>
      <c r="H117" s="1">
        <v>91095</v>
      </c>
      <c r="I117" s="1">
        <v>6675</v>
      </c>
      <c r="J117" s="1">
        <v>3.4</v>
      </c>
      <c r="L117" s="14"/>
    </row>
    <row r="118" spans="1:12" x14ac:dyDescent="0.25">
      <c r="A118" s="1">
        <v>117</v>
      </c>
      <c r="B118" s="1" t="s">
        <v>24</v>
      </c>
      <c r="C118" s="1" t="s">
        <v>41</v>
      </c>
      <c r="D118" s="1" t="s">
        <v>156</v>
      </c>
      <c r="E118" s="1" t="s">
        <v>29</v>
      </c>
      <c r="F118" s="1" t="s">
        <v>14</v>
      </c>
      <c r="G118" s="9">
        <v>43162</v>
      </c>
      <c r="H118" s="1">
        <v>66582</v>
      </c>
      <c r="I118" s="1">
        <v>12179</v>
      </c>
      <c r="J118" s="1">
        <v>2.8</v>
      </c>
      <c r="L118" s="14"/>
    </row>
    <row r="119" spans="1:12" x14ac:dyDescent="0.25">
      <c r="A119" s="1">
        <v>118</v>
      </c>
      <c r="B119" s="1" t="s">
        <v>48</v>
      </c>
      <c r="C119" s="1" t="s">
        <v>41</v>
      </c>
      <c r="D119" s="1" t="s">
        <v>157</v>
      </c>
      <c r="E119" s="1" t="s">
        <v>23</v>
      </c>
      <c r="F119" s="1" t="s">
        <v>31</v>
      </c>
      <c r="G119" s="9">
        <v>45064</v>
      </c>
      <c r="H119" s="1">
        <v>58207</v>
      </c>
      <c r="I119" s="1">
        <v>8992</v>
      </c>
      <c r="J119" s="1">
        <v>4</v>
      </c>
      <c r="L119" s="14"/>
    </row>
    <row r="120" spans="1:12" x14ac:dyDescent="0.25">
      <c r="A120" s="1">
        <v>119</v>
      </c>
      <c r="B120" s="1" t="s">
        <v>32</v>
      </c>
      <c r="C120" s="1" t="s">
        <v>64</v>
      </c>
      <c r="D120" s="1" t="s">
        <v>158</v>
      </c>
      <c r="E120" s="1" t="s">
        <v>29</v>
      </c>
      <c r="F120" s="1" t="s">
        <v>31</v>
      </c>
      <c r="G120" s="9">
        <v>44422</v>
      </c>
      <c r="H120" s="1">
        <v>83627</v>
      </c>
      <c r="I120" s="1">
        <v>13177</v>
      </c>
      <c r="J120" s="1">
        <v>3.9</v>
      </c>
      <c r="L120" s="14"/>
    </row>
    <row r="121" spans="1:12" x14ac:dyDescent="0.25">
      <c r="A121" s="1">
        <v>120</v>
      </c>
      <c r="B121" s="1" t="s">
        <v>44</v>
      </c>
      <c r="C121" s="1" t="s">
        <v>25</v>
      </c>
      <c r="D121" s="1" t="s">
        <v>159</v>
      </c>
      <c r="E121" s="1" t="s">
        <v>29</v>
      </c>
      <c r="F121" s="1" t="s">
        <v>31</v>
      </c>
      <c r="G121" s="9">
        <v>43114</v>
      </c>
      <c r="H121" s="1">
        <v>59797</v>
      </c>
      <c r="I121" s="1">
        <v>14159</v>
      </c>
      <c r="J121" s="1">
        <v>4.9000000000000004</v>
      </c>
      <c r="L121" s="14"/>
    </row>
    <row r="122" spans="1:12" x14ac:dyDescent="0.25">
      <c r="A122" s="1">
        <v>121</v>
      </c>
      <c r="B122" s="1" t="s">
        <v>44</v>
      </c>
      <c r="C122" s="1" t="s">
        <v>41</v>
      </c>
      <c r="D122" s="1" t="s">
        <v>160</v>
      </c>
      <c r="E122" s="1" t="s">
        <v>40</v>
      </c>
      <c r="F122" s="1" t="s">
        <v>54</v>
      </c>
      <c r="G122" s="9">
        <v>43251</v>
      </c>
      <c r="H122" s="1">
        <v>90446</v>
      </c>
      <c r="I122" s="1">
        <v>17791</v>
      </c>
      <c r="J122" s="1">
        <v>4.3</v>
      </c>
      <c r="L122" s="14"/>
    </row>
    <row r="123" spans="1:12" x14ac:dyDescent="0.25">
      <c r="A123" s="1">
        <v>122</v>
      </c>
      <c r="B123" s="1" t="s">
        <v>15</v>
      </c>
      <c r="C123" s="1" t="s">
        <v>64</v>
      </c>
      <c r="D123" s="1" t="s">
        <v>161</v>
      </c>
      <c r="E123" s="1" t="s">
        <v>53</v>
      </c>
      <c r="F123" s="1" t="s">
        <v>14</v>
      </c>
      <c r="G123" s="9">
        <v>43241</v>
      </c>
      <c r="H123" s="1">
        <v>74569</v>
      </c>
      <c r="I123" s="1">
        <v>15471</v>
      </c>
      <c r="J123" s="1">
        <v>3.2</v>
      </c>
      <c r="L123" s="14"/>
    </row>
    <row r="124" spans="1:12" x14ac:dyDescent="0.25">
      <c r="A124" s="1">
        <v>123</v>
      </c>
      <c r="B124" s="1" t="s">
        <v>20</v>
      </c>
      <c r="C124" s="1" t="s">
        <v>21</v>
      </c>
      <c r="D124" s="1" t="s">
        <v>162</v>
      </c>
      <c r="E124" s="1" t="s">
        <v>29</v>
      </c>
      <c r="F124" s="1" t="s">
        <v>31</v>
      </c>
      <c r="G124" s="9">
        <v>43265</v>
      </c>
      <c r="H124" s="1">
        <v>32226</v>
      </c>
      <c r="I124" s="1">
        <v>2936</v>
      </c>
      <c r="J124" s="1">
        <v>3.3</v>
      </c>
      <c r="L124" s="14"/>
    </row>
    <row r="125" spans="1:12" x14ac:dyDescent="0.25">
      <c r="A125" s="1">
        <v>124</v>
      </c>
      <c r="B125" s="1" t="s">
        <v>20</v>
      </c>
      <c r="C125" s="1" t="s">
        <v>25</v>
      </c>
      <c r="D125" s="1" t="s">
        <v>163</v>
      </c>
      <c r="E125" s="1" t="s">
        <v>40</v>
      </c>
      <c r="F125" s="1" t="s">
        <v>27</v>
      </c>
      <c r="G125" s="9">
        <v>43198</v>
      </c>
      <c r="H125" s="1">
        <v>86833</v>
      </c>
      <c r="I125" s="1">
        <v>2633</v>
      </c>
      <c r="J125" s="1">
        <v>3.4</v>
      </c>
      <c r="L125" s="14"/>
    </row>
    <row r="126" spans="1:12" x14ac:dyDescent="0.25">
      <c r="A126" s="1">
        <v>125</v>
      </c>
      <c r="B126" s="1" t="s">
        <v>44</v>
      </c>
      <c r="C126" s="1" t="s">
        <v>64</v>
      </c>
      <c r="D126" s="1" t="s">
        <v>164</v>
      </c>
      <c r="E126" s="1" t="s">
        <v>23</v>
      </c>
      <c r="F126" s="1" t="s">
        <v>14</v>
      </c>
      <c r="G126" s="9">
        <v>44585</v>
      </c>
      <c r="H126" s="1">
        <v>98588</v>
      </c>
      <c r="I126" s="1">
        <v>13510</v>
      </c>
      <c r="J126" s="1">
        <v>4.2</v>
      </c>
      <c r="L126" s="14"/>
    </row>
    <row r="127" spans="1:12" x14ac:dyDescent="0.25">
      <c r="A127" s="1">
        <v>126</v>
      </c>
      <c r="B127" s="1" t="s">
        <v>37</v>
      </c>
      <c r="C127" s="1" t="s">
        <v>16</v>
      </c>
      <c r="D127" s="1" t="s">
        <v>165</v>
      </c>
      <c r="E127" s="1" t="s">
        <v>53</v>
      </c>
      <c r="F127" s="1" t="s">
        <v>19</v>
      </c>
      <c r="G127" s="9">
        <v>44360</v>
      </c>
      <c r="H127" s="1">
        <v>55657</v>
      </c>
      <c r="I127" s="1">
        <v>18612</v>
      </c>
      <c r="J127" s="1">
        <v>2.6</v>
      </c>
      <c r="L127" s="14"/>
    </row>
    <row r="128" spans="1:12" x14ac:dyDescent="0.25">
      <c r="A128" s="1">
        <v>127</v>
      </c>
      <c r="B128" s="1" t="s">
        <v>48</v>
      </c>
      <c r="C128" s="1" t="s">
        <v>41</v>
      </c>
      <c r="D128" s="1" t="s">
        <v>166</v>
      </c>
      <c r="E128" s="1" t="s">
        <v>18</v>
      </c>
      <c r="F128" s="1" t="s">
        <v>14</v>
      </c>
      <c r="G128" s="9">
        <v>44224</v>
      </c>
      <c r="H128" s="1">
        <v>113175</v>
      </c>
      <c r="I128" s="1">
        <v>3419</v>
      </c>
      <c r="J128" s="1">
        <v>2.4</v>
      </c>
      <c r="L128" s="14"/>
    </row>
    <row r="129" spans="1:12" x14ac:dyDescent="0.25">
      <c r="A129" s="1">
        <v>128</v>
      </c>
      <c r="B129" s="1" t="s">
        <v>48</v>
      </c>
      <c r="C129" s="1" t="s">
        <v>38</v>
      </c>
      <c r="D129" s="1" t="s">
        <v>167</v>
      </c>
      <c r="E129" s="1" t="s">
        <v>13</v>
      </c>
      <c r="F129" s="1" t="s">
        <v>31</v>
      </c>
      <c r="G129" s="9">
        <v>43630</v>
      </c>
      <c r="H129" s="1">
        <v>105096</v>
      </c>
      <c r="I129" s="1">
        <v>5887</v>
      </c>
      <c r="J129" s="1">
        <v>4</v>
      </c>
      <c r="L129" s="14"/>
    </row>
    <row r="130" spans="1:12" x14ac:dyDescent="0.25">
      <c r="A130" s="1">
        <v>129</v>
      </c>
      <c r="B130" s="1" t="s">
        <v>32</v>
      </c>
      <c r="C130" s="1" t="s">
        <v>21</v>
      </c>
      <c r="D130" s="1" t="s">
        <v>168</v>
      </c>
      <c r="E130" s="1" t="s">
        <v>53</v>
      </c>
      <c r="F130" s="1" t="s">
        <v>27</v>
      </c>
      <c r="G130" s="9">
        <v>44536</v>
      </c>
      <c r="H130" s="1">
        <v>72476</v>
      </c>
      <c r="I130" s="1">
        <v>10793</v>
      </c>
      <c r="J130" s="1">
        <v>4</v>
      </c>
      <c r="L130" s="14"/>
    </row>
    <row r="131" spans="1:12" x14ac:dyDescent="0.25">
      <c r="A131" s="1">
        <v>130</v>
      </c>
      <c r="B131" s="1" t="s">
        <v>44</v>
      </c>
      <c r="C131" s="1" t="s">
        <v>35</v>
      </c>
      <c r="D131" s="1" t="s">
        <v>169</v>
      </c>
      <c r="E131" s="1" t="s">
        <v>18</v>
      </c>
      <c r="F131" s="1" t="s">
        <v>54</v>
      </c>
      <c r="G131" s="9">
        <v>45041</v>
      </c>
      <c r="H131" s="1">
        <v>54244</v>
      </c>
      <c r="I131" s="1">
        <v>14501</v>
      </c>
      <c r="J131" s="1">
        <v>4</v>
      </c>
      <c r="L131" s="14"/>
    </row>
    <row r="132" spans="1:12" x14ac:dyDescent="0.25">
      <c r="A132" s="1">
        <v>131</v>
      </c>
      <c r="B132" s="1" t="s">
        <v>24</v>
      </c>
      <c r="C132" s="1" t="s">
        <v>35</v>
      </c>
      <c r="D132" s="1" t="s">
        <v>170</v>
      </c>
      <c r="E132" s="1" t="s">
        <v>23</v>
      </c>
      <c r="F132" s="1" t="s">
        <v>19</v>
      </c>
      <c r="G132" s="9">
        <v>44076</v>
      </c>
      <c r="H132" s="1">
        <v>47667</v>
      </c>
      <c r="I132" s="1">
        <v>5976</v>
      </c>
      <c r="J132" s="1">
        <v>3.5</v>
      </c>
      <c r="L132" s="14"/>
    </row>
    <row r="133" spans="1:12" x14ac:dyDescent="0.25">
      <c r="A133" s="1">
        <v>132</v>
      </c>
      <c r="B133" s="1" t="s">
        <v>20</v>
      </c>
      <c r="C133" s="1" t="s">
        <v>25</v>
      </c>
      <c r="D133" s="1" t="s">
        <v>171</v>
      </c>
      <c r="E133" s="1" t="s">
        <v>18</v>
      </c>
      <c r="F133" s="1" t="s">
        <v>27</v>
      </c>
      <c r="G133" s="9">
        <v>44496</v>
      </c>
      <c r="H133" s="1">
        <v>67930</v>
      </c>
      <c r="I133" s="1">
        <v>17957</v>
      </c>
      <c r="J133" s="1">
        <v>4</v>
      </c>
      <c r="L133" s="14"/>
    </row>
    <row r="134" spans="1:12" x14ac:dyDescent="0.25">
      <c r="A134" s="1">
        <v>133</v>
      </c>
      <c r="B134" s="1" t="s">
        <v>24</v>
      </c>
      <c r="C134" s="1" t="s">
        <v>41</v>
      </c>
      <c r="D134" s="1" t="s">
        <v>172</v>
      </c>
      <c r="E134" s="1" t="s">
        <v>53</v>
      </c>
      <c r="F134" s="1" t="s">
        <v>14</v>
      </c>
      <c r="G134" s="9">
        <v>44867</v>
      </c>
      <c r="H134" s="1">
        <v>78198</v>
      </c>
      <c r="I134" s="1">
        <v>9448</v>
      </c>
      <c r="J134" s="1">
        <v>3.1</v>
      </c>
      <c r="L134" s="14"/>
    </row>
    <row r="135" spans="1:12" x14ac:dyDescent="0.25">
      <c r="A135" s="1">
        <v>134</v>
      </c>
      <c r="B135" s="1" t="s">
        <v>34</v>
      </c>
      <c r="C135" s="1" t="s">
        <v>11</v>
      </c>
      <c r="D135" s="1" t="s">
        <v>173</v>
      </c>
      <c r="E135" s="1" t="s">
        <v>40</v>
      </c>
      <c r="F135" s="1" t="s">
        <v>19</v>
      </c>
      <c r="G135" s="9">
        <v>44035</v>
      </c>
      <c r="H135" s="1">
        <v>69526</v>
      </c>
      <c r="I135" s="1">
        <v>16522</v>
      </c>
      <c r="J135" s="1">
        <v>2.5</v>
      </c>
      <c r="L135" s="14"/>
    </row>
    <row r="136" spans="1:12" x14ac:dyDescent="0.25">
      <c r="A136" s="1">
        <v>135</v>
      </c>
      <c r="B136" s="1" t="s">
        <v>37</v>
      </c>
      <c r="C136" s="1" t="s">
        <v>11</v>
      </c>
      <c r="D136" s="1" t="s">
        <v>174</v>
      </c>
      <c r="E136" s="1" t="s">
        <v>40</v>
      </c>
      <c r="F136" s="1" t="s">
        <v>19</v>
      </c>
      <c r="G136" s="9">
        <v>44329</v>
      </c>
      <c r="H136" s="1">
        <v>57290</v>
      </c>
      <c r="I136" s="1">
        <v>6589</v>
      </c>
      <c r="J136" s="1">
        <v>4.7</v>
      </c>
      <c r="L136" s="14"/>
    </row>
    <row r="137" spans="1:12" x14ac:dyDescent="0.25">
      <c r="A137" s="1">
        <v>136</v>
      </c>
      <c r="B137" s="1" t="s">
        <v>10</v>
      </c>
      <c r="C137" s="1" t="s">
        <v>25</v>
      </c>
      <c r="D137" s="1" t="s">
        <v>175</v>
      </c>
      <c r="E137" s="1" t="s">
        <v>40</v>
      </c>
      <c r="F137" s="1" t="s">
        <v>31</v>
      </c>
      <c r="G137" s="9">
        <v>44224</v>
      </c>
      <c r="H137" s="1">
        <v>52089</v>
      </c>
      <c r="I137" s="1">
        <v>17474</v>
      </c>
      <c r="J137" s="1">
        <v>3.3</v>
      </c>
      <c r="L137" s="14"/>
    </row>
    <row r="138" spans="1:12" x14ac:dyDescent="0.25">
      <c r="A138" s="1">
        <v>137</v>
      </c>
      <c r="B138" s="1" t="s">
        <v>48</v>
      </c>
      <c r="C138" s="1" t="s">
        <v>64</v>
      </c>
      <c r="D138" s="1" t="s">
        <v>176</v>
      </c>
      <c r="E138" s="1" t="s">
        <v>23</v>
      </c>
      <c r="F138" s="1" t="s">
        <v>19</v>
      </c>
      <c r="G138" s="9">
        <v>43487</v>
      </c>
      <c r="H138" s="1">
        <v>58344</v>
      </c>
      <c r="I138" s="1">
        <v>7348</v>
      </c>
      <c r="J138" s="1">
        <v>4.7</v>
      </c>
      <c r="L138" s="14"/>
    </row>
    <row r="139" spans="1:12" x14ac:dyDescent="0.25">
      <c r="A139" s="1">
        <v>138</v>
      </c>
      <c r="B139" s="1" t="s">
        <v>56</v>
      </c>
      <c r="C139" s="1" t="s">
        <v>38</v>
      </c>
      <c r="D139" s="1" t="s">
        <v>177</v>
      </c>
      <c r="E139" s="1" t="s">
        <v>23</v>
      </c>
      <c r="F139" s="1" t="s">
        <v>19</v>
      </c>
      <c r="G139" s="9">
        <v>43980</v>
      </c>
      <c r="H139" s="1">
        <v>33976</v>
      </c>
      <c r="I139" s="1">
        <v>9705</v>
      </c>
      <c r="J139" s="1">
        <v>3.5</v>
      </c>
      <c r="L139" s="14"/>
    </row>
    <row r="140" spans="1:12" x14ac:dyDescent="0.25">
      <c r="A140" s="1">
        <v>139</v>
      </c>
      <c r="B140" s="1" t="s">
        <v>32</v>
      </c>
      <c r="C140" s="1" t="s">
        <v>11</v>
      </c>
      <c r="D140" s="1" t="s">
        <v>178</v>
      </c>
      <c r="E140" s="1" t="s">
        <v>13</v>
      </c>
      <c r="F140" s="1" t="s">
        <v>46</v>
      </c>
      <c r="G140" s="9">
        <v>43342</v>
      </c>
      <c r="H140" s="1">
        <v>100395</v>
      </c>
      <c r="I140" s="1">
        <v>16035</v>
      </c>
      <c r="J140" s="1">
        <v>2.2000000000000002</v>
      </c>
      <c r="L140" s="14"/>
    </row>
    <row r="141" spans="1:12" x14ac:dyDescent="0.25">
      <c r="A141" s="1">
        <v>140</v>
      </c>
      <c r="B141" s="1" t="s">
        <v>44</v>
      </c>
      <c r="C141" s="1" t="s">
        <v>11</v>
      </c>
      <c r="D141" s="1" t="s">
        <v>179</v>
      </c>
      <c r="E141" s="1" t="s">
        <v>53</v>
      </c>
      <c r="F141" s="1" t="s">
        <v>46</v>
      </c>
      <c r="G141" s="9">
        <v>43567</v>
      </c>
      <c r="H141" s="1">
        <v>101528</v>
      </c>
      <c r="I141" s="1">
        <v>10919</v>
      </c>
      <c r="J141" s="1">
        <v>2.1</v>
      </c>
      <c r="L141" s="14"/>
    </row>
    <row r="142" spans="1:12" x14ac:dyDescent="0.25">
      <c r="A142" s="1">
        <v>141</v>
      </c>
      <c r="B142" s="1" t="s">
        <v>48</v>
      </c>
      <c r="C142" s="1" t="s">
        <v>64</v>
      </c>
      <c r="D142" s="1" t="s">
        <v>180</v>
      </c>
      <c r="E142" s="1" t="s">
        <v>53</v>
      </c>
      <c r="F142" s="1" t="s">
        <v>19</v>
      </c>
      <c r="G142" s="9">
        <v>44842</v>
      </c>
      <c r="H142" s="1">
        <v>61287</v>
      </c>
      <c r="I142" s="1">
        <v>3957</v>
      </c>
      <c r="J142" s="1">
        <v>3.4</v>
      </c>
      <c r="L142" s="14"/>
    </row>
    <row r="143" spans="1:12" x14ac:dyDescent="0.25">
      <c r="A143" s="1">
        <v>142</v>
      </c>
      <c r="B143" s="1" t="s">
        <v>56</v>
      </c>
      <c r="C143" s="1" t="s">
        <v>35</v>
      </c>
      <c r="D143" s="1" t="s">
        <v>181</v>
      </c>
      <c r="E143" s="1" t="s">
        <v>18</v>
      </c>
      <c r="F143" s="1" t="s">
        <v>19</v>
      </c>
      <c r="G143" s="9">
        <v>43330</v>
      </c>
      <c r="H143" s="1">
        <v>41125</v>
      </c>
      <c r="I143" s="1">
        <v>5747</v>
      </c>
      <c r="J143" s="1">
        <v>2.2000000000000002</v>
      </c>
      <c r="L143" s="14"/>
    </row>
    <row r="144" spans="1:12" x14ac:dyDescent="0.25">
      <c r="A144" s="1">
        <v>143</v>
      </c>
      <c r="B144" s="1" t="s">
        <v>56</v>
      </c>
      <c r="C144" s="1" t="s">
        <v>35</v>
      </c>
      <c r="D144" s="1" t="s">
        <v>182</v>
      </c>
      <c r="E144" s="1" t="s">
        <v>13</v>
      </c>
      <c r="F144" s="1" t="s">
        <v>14</v>
      </c>
      <c r="G144" s="9">
        <v>45098</v>
      </c>
      <c r="H144" s="1">
        <v>93554</v>
      </c>
      <c r="I144" s="1">
        <v>4768</v>
      </c>
      <c r="J144" s="1">
        <v>3.6</v>
      </c>
      <c r="L144" s="14"/>
    </row>
    <row r="145" spans="1:12" x14ac:dyDescent="0.25">
      <c r="A145" s="1">
        <v>144</v>
      </c>
      <c r="B145" s="1" t="s">
        <v>56</v>
      </c>
      <c r="C145" s="1" t="s">
        <v>64</v>
      </c>
      <c r="D145" s="1" t="s">
        <v>183</v>
      </c>
      <c r="E145" s="1" t="s">
        <v>40</v>
      </c>
      <c r="F145" s="1" t="s">
        <v>54</v>
      </c>
      <c r="G145" s="9">
        <v>44555</v>
      </c>
      <c r="H145" s="1">
        <v>71122</v>
      </c>
      <c r="I145" s="1">
        <v>13688</v>
      </c>
      <c r="J145" s="1">
        <v>3.3</v>
      </c>
      <c r="L145" s="14"/>
    </row>
    <row r="146" spans="1:12" x14ac:dyDescent="0.25">
      <c r="A146" s="1">
        <v>145</v>
      </c>
      <c r="B146" s="1" t="s">
        <v>37</v>
      </c>
      <c r="C146" s="1" t="s">
        <v>21</v>
      </c>
      <c r="D146" s="1" t="s">
        <v>184</v>
      </c>
      <c r="E146" s="1" t="s">
        <v>53</v>
      </c>
      <c r="F146" s="1" t="s">
        <v>14</v>
      </c>
      <c r="G146" s="9">
        <v>44969</v>
      </c>
      <c r="H146" s="1">
        <v>81256</v>
      </c>
      <c r="I146" s="1">
        <v>17305</v>
      </c>
      <c r="J146" s="1">
        <v>2.2999999999999998</v>
      </c>
      <c r="L146" s="14"/>
    </row>
    <row r="147" spans="1:12" x14ac:dyDescent="0.25">
      <c r="A147" s="1">
        <v>146</v>
      </c>
      <c r="B147" s="1" t="s">
        <v>24</v>
      </c>
      <c r="C147" s="1" t="s">
        <v>38</v>
      </c>
      <c r="D147" s="1" t="s">
        <v>185</v>
      </c>
      <c r="E147" s="1" t="s">
        <v>13</v>
      </c>
      <c r="F147" s="1" t="s">
        <v>14</v>
      </c>
      <c r="G147" s="9">
        <v>44183</v>
      </c>
      <c r="H147" s="1">
        <v>109097</v>
      </c>
      <c r="I147" s="1">
        <v>6135</v>
      </c>
      <c r="J147" s="1">
        <v>4</v>
      </c>
      <c r="L147" s="14"/>
    </row>
    <row r="148" spans="1:12" x14ac:dyDescent="0.25">
      <c r="A148" s="1">
        <v>147</v>
      </c>
      <c r="B148" s="1" t="s">
        <v>20</v>
      </c>
      <c r="C148" s="1" t="s">
        <v>25</v>
      </c>
      <c r="D148" s="1" t="s">
        <v>186</v>
      </c>
      <c r="E148" s="1" t="s">
        <v>29</v>
      </c>
      <c r="F148" s="1" t="s">
        <v>19</v>
      </c>
      <c r="G148" s="9">
        <v>44921</v>
      </c>
      <c r="H148" s="1">
        <v>64814</v>
      </c>
      <c r="I148" s="1">
        <v>12609</v>
      </c>
      <c r="J148" s="1">
        <v>4.5999999999999996</v>
      </c>
      <c r="L148" s="14"/>
    </row>
    <row r="149" spans="1:12" x14ac:dyDescent="0.25">
      <c r="A149" s="1">
        <v>148</v>
      </c>
      <c r="B149" s="1" t="s">
        <v>37</v>
      </c>
      <c r="C149" s="1" t="s">
        <v>16</v>
      </c>
      <c r="D149" s="1" t="s">
        <v>187</v>
      </c>
      <c r="E149" s="1" t="s">
        <v>40</v>
      </c>
      <c r="F149" s="1" t="s">
        <v>19</v>
      </c>
      <c r="G149" s="9">
        <v>43398</v>
      </c>
      <c r="H149" s="1">
        <v>39484</v>
      </c>
      <c r="I149" s="1">
        <v>18205</v>
      </c>
      <c r="J149" s="1">
        <v>2.6</v>
      </c>
      <c r="L149" s="14"/>
    </row>
    <row r="150" spans="1:12" x14ac:dyDescent="0.25">
      <c r="A150" s="1">
        <v>149</v>
      </c>
      <c r="B150" s="1" t="s">
        <v>48</v>
      </c>
      <c r="C150" s="1" t="s">
        <v>38</v>
      </c>
      <c r="D150" s="1" t="s">
        <v>188</v>
      </c>
      <c r="E150" s="1" t="s">
        <v>18</v>
      </c>
      <c r="F150" s="1" t="s">
        <v>46</v>
      </c>
      <c r="G150" s="9">
        <v>44194</v>
      </c>
      <c r="H150" s="1">
        <v>32563</v>
      </c>
      <c r="I150" s="1">
        <v>11027</v>
      </c>
      <c r="J150" s="1">
        <v>4.8</v>
      </c>
      <c r="L150" s="14"/>
    </row>
    <row r="151" spans="1:12" x14ac:dyDescent="0.25">
      <c r="A151" s="1">
        <v>150</v>
      </c>
      <c r="B151" s="1" t="s">
        <v>24</v>
      </c>
      <c r="C151" s="1" t="s">
        <v>25</v>
      </c>
      <c r="D151" s="1" t="s">
        <v>189</v>
      </c>
      <c r="E151" s="1" t="s">
        <v>13</v>
      </c>
      <c r="F151" s="1" t="s">
        <v>27</v>
      </c>
      <c r="G151" s="9">
        <v>44590</v>
      </c>
      <c r="H151" s="1">
        <v>98449</v>
      </c>
      <c r="I151" s="1">
        <v>10558</v>
      </c>
      <c r="J151" s="1">
        <v>2.2999999999999998</v>
      </c>
      <c r="L151" s="14"/>
    </row>
    <row r="152" spans="1:12" x14ac:dyDescent="0.25">
      <c r="A152" s="1">
        <v>151</v>
      </c>
      <c r="B152" s="1" t="s">
        <v>44</v>
      </c>
      <c r="C152" s="1" t="s">
        <v>21</v>
      </c>
      <c r="D152" s="1" t="s">
        <v>190</v>
      </c>
      <c r="E152" s="1" t="s">
        <v>23</v>
      </c>
      <c r="F152" s="1" t="s">
        <v>46</v>
      </c>
      <c r="G152" s="9">
        <v>45064</v>
      </c>
      <c r="H152" s="1">
        <v>64465</v>
      </c>
      <c r="I152" s="1">
        <v>6456</v>
      </c>
      <c r="J152" s="1">
        <v>2.5</v>
      </c>
      <c r="L152" s="14"/>
    </row>
    <row r="153" spans="1:12" x14ac:dyDescent="0.25">
      <c r="A153" s="1">
        <v>152</v>
      </c>
      <c r="B153" s="1" t="s">
        <v>20</v>
      </c>
      <c r="C153" s="1" t="s">
        <v>35</v>
      </c>
      <c r="D153" s="1" t="s">
        <v>191</v>
      </c>
      <c r="E153" s="1" t="s">
        <v>18</v>
      </c>
      <c r="F153" s="1" t="s">
        <v>54</v>
      </c>
      <c r="G153" s="9">
        <v>44110</v>
      </c>
      <c r="H153" s="1">
        <v>113409</v>
      </c>
      <c r="I153" s="1">
        <v>13642</v>
      </c>
      <c r="J153" s="1">
        <v>2.2000000000000002</v>
      </c>
      <c r="L153" s="14"/>
    </row>
    <row r="154" spans="1:12" x14ac:dyDescent="0.25">
      <c r="A154" s="1">
        <v>153</v>
      </c>
      <c r="B154" s="1" t="s">
        <v>20</v>
      </c>
      <c r="C154" s="1" t="s">
        <v>38</v>
      </c>
      <c r="D154" s="1" t="s">
        <v>192</v>
      </c>
      <c r="E154" s="1" t="s">
        <v>13</v>
      </c>
      <c r="F154" s="1" t="s">
        <v>19</v>
      </c>
      <c r="G154" s="9">
        <v>44301</v>
      </c>
      <c r="H154" s="1">
        <v>95882</v>
      </c>
      <c r="I154" s="1">
        <v>17435</v>
      </c>
      <c r="J154" s="1">
        <v>4.3</v>
      </c>
      <c r="L154" s="14"/>
    </row>
    <row r="155" spans="1:12" x14ac:dyDescent="0.25">
      <c r="A155" s="1">
        <v>154</v>
      </c>
      <c r="B155" s="1" t="s">
        <v>44</v>
      </c>
      <c r="C155" s="1" t="s">
        <v>11</v>
      </c>
      <c r="D155" s="1" t="s">
        <v>193</v>
      </c>
      <c r="E155" s="1" t="s">
        <v>40</v>
      </c>
      <c r="F155" s="1" t="s">
        <v>27</v>
      </c>
      <c r="G155" s="9">
        <v>43497</v>
      </c>
      <c r="H155" s="1">
        <v>76484</v>
      </c>
      <c r="I155" s="1">
        <v>16396</v>
      </c>
      <c r="J155" s="1">
        <v>2.2000000000000002</v>
      </c>
      <c r="L155" s="14"/>
    </row>
    <row r="156" spans="1:12" x14ac:dyDescent="0.25">
      <c r="A156" s="1">
        <v>155</v>
      </c>
      <c r="B156" s="1" t="s">
        <v>48</v>
      </c>
      <c r="C156" s="1" t="s">
        <v>21</v>
      </c>
      <c r="D156" s="1" t="s">
        <v>194</v>
      </c>
      <c r="E156" s="1" t="s">
        <v>23</v>
      </c>
      <c r="F156" s="1" t="s">
        <v>31</v>
      </c>
      <c r="G156" s="9">
        <v>43722</v>
      </c>
      <c r="H156" s="1">
        <v>71814</v>
      </c>
      <c r="I156" s="1">
        <v>14394</v>
      </c>
      <c r="J156" s="1">
        <v>2.8</v>
      </c>
      <c r="L156" s="14"/>
    </row>
    <row r="157" spans="1:12" x14ac:dyDescent="0.25">
      <c r="A157" s="1">
        <v>156</v>
      </c>
      <c r="B157" s="1" t="s">
        <v>48</v>
      </c>
      <c r="C157" s="1" t="s">
        <v>16</v>
      </c>
      <c r="D157" s="1" t="s">
        <v>195</v>
      </c>
      <c r="E157" s="1" t="s">
        <v>40</v>
      </c>
      <c r="F157" s="1" t="s">
        <v>27</v>
      </c>
      <c r="G157" s="9">
        <v>44889</v>
      </c>
      <c r="H157" s="1">
        <v>82375</v>
      </c>
      <c r="I157" s="1">
        <v>5226</v>
      </c>
      <c r="J157" s="1">
        <v>4.2</v>
      </c>
      <c r="L157" s="14"/>
    </row>
    <row r="158" spans="1:12" x14ac:dyDescent="0.25">
      <c r="A158" s="1">
        <v>157</v>
      </c>
      <c r="B158" s="1" t="s">
        <v>15</v>
      </c>
      <c r="C158" s="1" t="s">
        <v>38</v>
      </c>
      <c r="D158" s="1" t="s">
        <v>196</v>
      </c>
      <c r="E158" s="1" t="s">
        <v>13</v>
      </c>
      <c r="F158" s="1" t="s">
        <v>19</v>
      </c>
      <c r="G158" s="9">
        <v>43752</v>
      </c>
      <c r="H158" s="1">
        <v>104731</v>
      </c>
      <c r="I158" s="1">
        <v>19041</v>
      </c>
      <c r="J158" s="1">
        <v>4.0999999999999996</v>
      </c>
      <c r="L158" s="14"/>
    </row>
    <row r="159" spans="1:12" x14ac:dyDescent="0.25">
      <c r="A159" s="1">
        <v>158</v>
      </c>
      <c r="B159" s="1" t="s">
        <v>48</v>
      </c>
      <c r="C159" s="1" t="s">
        <v>11</v>
      </c>
      <c r="D159" s="1" t="s">
        <v>197</v>
      </c>
      <c r="E159" s="1" t="s">
        <v>29</v>
      </c>
      <c r="F159" s="1" t="s">
        <v>14</v>
      </c>
      <c r="G159" s="9">
        <v>44463</v>
      </c>
      <c r="H159" s="1">
        <v>31210</v>
      </c>
      <c r="I159" s="1">
        <v>15152</v>
      </c>
      <c r="J159" s="1">
        <v>4.0999999999999996</v>
      </c>
      <c r="L159" s="14"/>
    </row>
    <row r="160" spans="1:12" x14ac:dyDescent="0.25">
      <c r="A160" s="1">
        <v>159</v>
      </c>
      <c r="B160" s="1" t="s">
        <v>56</v>
      </c>
      <c r="C160" s="1" t="s">
        <v>64</v>
      </c>
      <c r="D160" s="1" t="s">
        <v>198</v>
      </c>
      <c r="E160" s="1" t="s">
        <v>13</v>
      </c>
      <c r="F160" s="1" t="s">
        <v>14</v>
      </c>
      <c r="G160" s="9">
        <v>44903</v>
      </c>
      <c r="H160" s="1">
        <v>115054</v>
      </c>
      <c r="I160" s="1">
        <v>6648</v>
      </c>
      <c r="J160" s="1">
        <v>2.1</v>
      </c>
      <c r="L160" s="14"/>
    </row>
    <row r="161" spans="1:12" x14ac:dyDescent="0.25">
      <c r="A161" s="1">
        <v>160</v>
      </c>
      <c r="B161" s="1" t="s">
        <v>24</v>
      </c>
      <c r="C161" s="1" t="s">
        <v>21</v>
      </c>
      <c r="D161" s="1" t="s">
        <v>199</v>
      </c>
      <c r="E161" s="1" t="s">
        <v>18</v>
      </c>
      <c r="F161" s="1" t="s">
        <v>19</v>
      </c>
      <c r="G161" s="9">
        <v>43201</v>
      </c>
      <c r="H161" s="1">
        <v>86672</v>
      </c>
      <c r="I161" s="1">
        <v>5098</v>
      </c>
      <c r="J161" s="1">
        <v>4</v>
      </c>
      <c r="L161" s="14"/>
    </row>
    <row r="162" spans="1:12" x14ac:dyDescent="0.25">
      <c r="A162" s="1">
        <v>161</v>
      </c>
      <c r="B162" s="1" t="s">
        <v>56</v>
      </c>
      <c r="C162" s="1" t="s">
        <v>21</v>
      </c>
      <c r="D162" s="1" t="s">
        <v>200</v>
      </c>
      <c r="E162" s="1" t="s">
        <v>53</v>
      </c>
      <c r="F162" s="1" t="s">
        <v>19</v>
      </c>
      <c r="G162" s="9">
        <v>43175</v>
      </c>
      <c r="H162" s="1">
        <v>113959</v>
      </c>
      <c r="I162" s="1">
        <v>9914</v>
      </c>
      <c r="J162" s="1">
        <v>2.2999999999999998</v>
      </c>
      <c r="L162" s="14"/>
    </row>
    <row r="163" spans="1:12" x14ac:dyDescent="0.25">
      <c r="A163" s="1">
        <v>162</v>
      </c>
      <c r="B163" s="1" t="s">
        <v>20</v>
      </c>
      <c r="C163" s="1" t="s">
        <v>21</v>
      </c>
      <c r="D163" s="1" t="s">
        <v>201</v>
      </c>
      <c r="E163" s="1" t="s">
        <v>29</v>
      </c>
      <c r="F163" s="1" t="s">
        <v>27</v>
      </c>
      <c r="G163" s="9">
        <v>43243</v>
      </c>
      <c r="H163" s="1">
        <v>81555</v>
      </c>
      <c r="I163" s="1">
        <v>18543</v>
      </c>
      <c r="J163" s="1">
        <v>2.7</v>
      </c>
      <c r="L163" s="14"/>
    </row>
    <row r="164" spans="1:12" x14ac:dyDescent="0.25">
      <c r="A164" s="1">
        <v>163</v>
      </c>
      <c r="B164" s="1" t="s">
        <v>15</v>
      </c>
      <c r="C164" s="1" t="s">
        <v>41</v>
      </c>
      <c r="D164" s="1" t="s">
        <v>202</v>
      </c>
      <c r="E164" s="1" t="s">
        <v>13</v>
      </c>
      <c r="F164" s="1" t="s">
        <v>27</v>
      </c>
      <c r="G164" s="9">
        <v>43625</v>
      </c>
      <c r="H164" s="1">
        <v>48893</v>
      </c>
      <c r="I164" s="1">
        <v>5372</v>
      </c>
      <c r="J164" s="1">
        <v>3.5</v>
      </c>
      <c r="L164" s="14"/>
    </row>
    <row r="165" spans="1:12" x14ac:dyDescent="0.25">
      <c r="A165" s="1">
        <v>164</v>
      </c>
      <c r="B165" s="1" t="s">
        <v>10</v>
      </c>
      <c r="C165" s="1" t="s">
        <v>25</v>
      </c>
      <c r="D165" s="1" t="s">
        <v>203</v>
      </c>
      <c r="E165" s="1" t="s">
        <v>53</v>
      </c>
      <c r="F165" s="1" t="s">
        <v>14</v>
      </c>
      <c r="G165" s="9">
        <v>43484</v>
      </c>
      <c r="H165" s="1">
        <v>89144</v>
      </c>
      <c r="I165" s="1">
        <v>15009</v>
      </c>
      <c r="J165" s="1">
        <v>2.4</v>
      </c>
      <c r="L165" s="14"/>
    </row>
    <row r="166" spans="1:12" x14ac:dyDescent="0.25">
      <c r="A166" s="1">
        <v>165</v>
      </c>
      <c r="B166" s="1" t="s">
        <v>20</v>
      </c>
      <c r="C166" s="1" t="s">
        <v>16</v>
      </c>
      <c r="D166" s="1" t="s">
        <v>204</v>
      </c>
      <c r="E166" s="1" t="s">
        <v>13</v>
      </c>
      <c r="F166" s="1" t="s">
        <v>27</v>
      </c>
      <c r="G166" s="9">
        <v>43821</v>
      </c>
      <c r="H166" s="1">
        <v>40104</v>
      </c>
      <c r="I166" s="1">
        <v>16029</v>
      </c>
      <c r="J166" s="1">
        <v>2.5</v>
      </c>
      <c r="L166" s="14"/>
    </row>
    <row r="167" spans="1:12" x14ac:dyDescent="0.25">
      <c r="A167" s="1">
        <v>166</v>
      </c>
      <c r="B167" s="1" t="s">
        <v>10</v>
      </c>
      <c r="C167" s="1" t="s">
        <v>16</v>
      </c>
      <c r="D167" s="1" t="s">
        <v>205</v>
      </c>
      <c r="E167" s="1" t="s">
        <v>23</v>
      </c>
      <c r="F167" s="1" t="s">
        <v>27</v>
      </c>
      <c r="G167" s="9">
        <v>44359</v>
      </c>
      <c r="H167" s="1">
        <v>111600</v>
      </c>
      <c r="I167" s="1">
        <v>19207</v>
      </c>
      <c r="J167" s="1">
        <v>2.6</v>
      </c>
      <c r="L167" s="14"/>
    </row>
    <row r="168" spans="1:12" x14ac:dyDescent="0.25">
      <c r="A168" s="1">
        <v>167</v>
      </c>
      <c r="B168" s="1" t="s">
        <v>15</v>
      </c>
      <c r="C168" s="1" t="s">
        <v>41</v>
      </c>
      <c r="D168" s="1" t="s">
        <v>206</v>
      </c>
      <c r="E168" s="1" t="s">
        <v>13</v>
      </c>
      <c r="F168" s="1" t="s">
        <v>19</v>
      </c>
      <c r="G168" s="9">
        <v>44589</v>
      </c>
      <c r="H168" s="1">
        <v>52458</v>
      </c>
      <c r="I168" s="1">
        <v>7285</v>
      </c>
      <c r="J168" s="1">
        <v>3</v>
      </c>
      <c r="L168" s="14"/>
    </row>
    <row r="169" spans="1:12" x14ac:dyDescent="0.25">
      <c r="A169" s="1">
        <v>168</v>
      </c>
      <c r="B169" s="1" t="s">
        <v>15</v>
      </c>
      <c r="C169" s="1" t="s">
        <v>11</v>
      </c>
      <c r="D169" s="1" t="s">
        <v>207</v>
      </c>
      <c r="E169" s="1" t="s">
        <v>13</v>
      </c>
      <c r="F169" s="1" t="s">
        <v>46</v>
      </c>
      <c r="G169" s="9">
        <v>44746</v>
      </c>
      <c r="H169" s="1">
        <v>119989</v>
      </c>
      <c r="I169" s="1">
        <v>6901</v>
      </c>
      <c r="J169" s="1">
        <v>4.2</v>
      </c>
      <c r="L169" s="14"/>
    </row>
    <row r="170" spans="1:12" x14ac:dyDescent="0.25">
      <c r="A170" s="1">
        <v>169</v>
      </c>
      <c r="B170" s="1" t="s">
        <v>48</v>
      </c>
      <c r="C170" s="1" t="s">
        <v>35</v>
      </c>
      <c r="D170" s="1" t="s">
        <v>208</v>
      </c>
      <c r="E170" s="1" t="s">
        <v>13</v>
      </c>
      <c r="F170" s="1" t="s">
        <v>31</v>
      </c>
      <c r="G170" s="9">
        <v>44129</v>
      </c>
      <c r="H170" s="1">
        <v>42017</v>
      </c>
      <c r="I170" s="1">
        <v>2661</v>
      </c>
      <c r="J170" s="1">
        <v>4.5999999999999996</v>
      </c>
      <c r="L170" s="14"/>
    </row>
    <row r="171" spans="1:12" x14ac:dyDescent="0.25">
      <c r="A171" s="1">
        <v>170</v>
      </c>
      <c r="B171" s="1" t="s">
        <v>34</v>
      </c>
      <c r="C171" s="1" t="s">
        <v>41</v>
      </c>
      <c r="D171" s="1" t="s">
        <v>209</v>
      </c>
      <c r="E171" s="1" t="s">
        <v>13</v>
      </c>
      <c r="F171" s="1" t="s">
        <v>14</v>
      </c>
      <c r="G171" s="9">
        <v>43770</v>
      </c>
      <c r="H171" s="1">
        <v>44483</v>
      </c>
      <c r="I171" s="1">
        <v>8322</v>
      </c>
      <c r="J171" s="1">
        <v>2.7</v>
      </c>
      <c r="L171" s="14"/>
    </row>
    <row r="172" spans="1:12" x14ac:dyDescent="0.25">
      <c r="A172" s="1">
        <v>171</v>
      </c>
      <c r="B172" s="1" t="s">
        <v>20</v>
      </c>
      <c r="C172" s="1" t="s">
        <v>35</v>
      </c>
      <c r="D172" s="1" t="s">
        <v>210</v>
      </c>
      <c r="E172" s="1" t="s">
        <v>40</v>
      </c>
      <c r="F172" s="1" t="s">
        <v>27</v>
      </c>
      <c r="G172" s="9">
        <v>44502</v>
      </c>
      <c r="H172" s="1">
        <v>97524</v>
      </c>
      <c r="I172" s="1">
        <v>12416</v>
      </c>
      <c r="J172" s="1">
        <v>4</v>
      </c>
      <c r="L172" s="14"/>
    </row>
    <row r="173" spans="1:12" x14ac:dyDescent="0.25">
      <c r="A173" s="1">
        <v>172</v>
      </c>
      <c r="B173" s="1" t="s">
        <v>44</v>
      </c>
      <c r="C173" s="1" t="s">
        <v>64</v>
      </c>
      <c r="D173" s="1" t="s">
        <v>211</v>
      </c>
      <c r="E173" s="1" t="s">
        <v>53</v>
      </c>
      <c r="F173" s="1" t="s">
        <v>46</v>
      </c>
      <c r="G173" s="9">
        <v>43679</v>
      </c>
      <c r="H173" s="1">
        <v>76747</v>
      </c>
      <c r="I173" s="1">
        <v>16845</v>
      </c>
      <c r="J173" s="1">
        <v>2.8</v>
      </c>
      <c r="L173" s="14"/>
    </row>
    <row r="174" spans="1:12" x14ac:dyDescent="0.25">
      <c r="A174" s="1">
        <v>173</v>
      </c>
      <c r="B174" s="1" t="s">
        <v>56</v>
      </c>
      <c r="C174" s="1" t="s">
        <v>41</v>
      </c>
      <c r="D174" s="1" t="s">
        <v>212</v>
      </c>
      <c r="E174" s="1" t="s">
        <v>53</v>
      </c>
      <c r="F174" s="1" t="s">
        <v>27</v>
      </c>
      <c r="G174" s="9">
        <v>43288</v>
      </c>
      <c r="H174" s="1">
        <v>41026</v>
      </c>
      <c r="I174" s="1">
        <v>10163</v>
      </c>
      <c r="J174" s="1">
        <v>4.5</v>
      </c>
      <c r="L174" s="14"/>
    </row>
    <row r="175" spans="1:12" x14ac:dyDescent="0.25">
      <c r="A175" s="1">
        <v>174</v>
      </c>
      <c r="B175" s="1" t="s">
        <v>56</v>
      </c>
      <c r="C175" s="1" t="s">
        <v>64</v>
      </c>
      <c r="D175" s="1" t="s">
        <v>213</v>
      </c>
      <c r="E175" s="1" t="s">
        <v>18</v>
      </c>
      <c r="F175" s="1" t="s">
        <v>46</v>
      </c>
      <c r="G175" s="9">
        <v>44087</v>
      </c>
      <c r="H175" s="1">
        <v>98005</v>
      </c>
      <c r="I175" s="1">
        <v>17254</v>
      </c>
      <c r="J175" s="1">
        <v>3</v>
      </c>
      <c r="L175" s="14"/>
    </row>
    <row r="176" spans="1:12" x14ac:dyDescent="0.25">
      <c r="A176" s="1">
        <v>175</v>
      </c>
      <c r="B176" s="1" t="s">
        <v>34</v>
      </c>
      <c r="C176" s="1" t="s">
        <v>11</v>
      </c>
      <c r="D176" s="1" t="s">
        <v>214</v>
      </c>
      <c r="E176" s="1" t="s">
        <v>13</v>
      </c>
      <c r="F176" s="1" t="s">
        <v>14</v>
      </c>
      <c r="G176" s="9">
        <v>45031</v>
      </c>
      <c r="H176" s="1">
        <v>35650</v>
      </c>
      <c r="I176" s="1">
        <v>8103</v>
      </c>
      <c r="J176" s="1">
        <v>3.2</v>
      </c>
      <c r="L176" s="14"/>
    </row>
    <row r="177" spans="1:12" x14ac:dyDescent="0.25">
      <c r="A177" s="1">
        <v>176</v>
      </c>
      <c r="B177" s="1" t="s">
        <v>56</v>
      </c>
      <c r="C177" s="1" t="s">
        <v>16</v>
      </c>
      <c r="D177" s="1" t="s">
        <v>215</v>
      </c>
      <c r="E177" s="1" t="s">
        <v>13</v>
      </c>
      <c r="F177" s="1" t="s">
        <v>27</v>
      </c>
      <c r="G177" s="9">
        <v>43584</v>
      </c>
      <c r="H177" s="1">
        <v>95065</v>
      </c>
      <c r="I177" s="1">
        <v>17054</v>
      </c>
      <c r="J177" s="1">
        <v>3.9</v>
      </c>
      <c r="L177" s="14"/>
    </row>
    <row r="178" spans="1:12" x14ac:dyDescent="0.25">
      <c r="A178" s="1">
        <v>177</v>
      </c>
      <c r="B178" s="1" t="s">
        <v>44</v>
      </c>
      <c r="C178" s="1" t="s">
        <v>11</v>
      </c>
      <c r="D178" s="1" t="s">
        <v>216</v>
      </c>
      <c r="E178" s="1" t="s">
        <v>23</v>
      </c>
      <c r="F178" s="1" t="s">
        <v>19</v>
      </c>
      <c r="G178" s="9">
        <v>45095</v>
      </c>
      <c r="H178" s="1">
        <v>87797</v>
      </c>
      <c r="I178" s="1">
        <v>11893</v>
      </c>
      <c r="J178" s="1">
        <v>2.1</v>
      </c>
      <c r="L178" s="14"/>
    </row>
    <row r="179" spans="1:12" x14ac:dyDescent="0.25">
      <c r="A179" s="1">
        <v>178</v>
      </c>
      <c r="B179" s="1" t="s">
        <v>10</v>
      </c>
      <c r="C179" s="1" t="s">
        <v>21</v>
      </c>
      <c r="D179" s="1" t="s">
        <v>217</v>
      </c>
      <c r="E179" s="1" t="s">
        <v>18</v>
      </c>
      <c r="F179" s="1" t="s">
        <v>27</v>
      </c>
      <c r="G179" s="9">
        <v>44838</v>
      </c>
      <c r="H179" s="1">
        <v>97741</v>
      </c>
      <c r="I179" s="1">
        <v>15312</v>
      </c>
      <c r="J179" s="1">
        <v>3.9</v>
      </c>
      <c r="L179" s="14"/>
    </row>
    <row r="180" spans="1:12" x14ac:dyDescent="0.25">
      <c r="A180" s="1">
        <v>179</v>
      </c>
      <c r="B180" s="1" t="s">
        <v>20</v>
      </c>
      <c r="C180" s="1" t="s">
        <v>41</v>
      </c>
      <c r="D180" s="1" t="s">
        <v>218</v>
      </c>
      <c r="E180" s="1" t="s">
        <v>29</v>
      </c>
      <c r="F180" s="1" t="s">
        <v>27</v>
      </c>
      <c r="G180" s="9">
        <v>44433</v>
      </c>
      <c r="H180" s="1">
        <v>47623</v>
      </c>
      <c r="I180" s="1">
        <v>17054</v>
      </c>
      <c r="J180" s="1">
        <v>2</v>
      </c>
      <c r="L180" s="14"/>
    </row>
    <row r="181" spans="1:12" x14ac:dyDescent="0.25">
      <c r="A181" s="1">
        <v>180</v>
      </c>
      <c r="B181" s="1" t="s">
        <v>32</v>
      </c>
      <c r="C181" s="1" t="s">
        <v>11</v>
      </c>
      <c r="D181" s="1" t="s">
        <v>219</v>
      </c>
      <c r="E181" s="1" t="s">
        <v>18</v>
      </c>
      <c r="F181" s="1" t="s">
        <v>46</v>
      </c>
      <c r="G181" s="9">
        <v>43264</v>
      </c>
      <c r="H181" s="1">
        <v>61445</v>
      </c>
      <c r="I181" s="1">
        <v>8118</v>
      </c>
      <c r="J181" s="1">
        <v>2.1</v>
      </c>
      <c r="L181" s="14"/>
    </row>
    <row r="182" spans="1:12" x14ac:dyDescent="0.25">
      <c r="A182" s="1">
        <v>181</v>
      </c>
      <c r="B182" s="1" t="s">
        <v>48</v>
      </c>
      <c r="C182" s="1" t="s">
        <v>25</v>
      </c>
      <c r="D182" s="1" t="s">
        <v>220</v>
      </c>
      <c r="E182" s="1" t="s">
        <v>40</v>
      </c>
      <c r="F182" s="1" t="s">
        <v>31</v>
      </c>
      <c r="G182" s="9">
        <v>44939</v>
      </c>
      <c r="H182" s="1">
        <v>63935</v>
      </c>
      <c r="I182" s="1">
        <v>10690</v>
      </c>
      <c r="J182" s="1">
        <v>2.2999999999999998</v>
      </c>
      <c r="L182" s="14"/>
    </row>
    <row r="183" spans="1:12" x14ac:dyDescent="0.25">
      <c r="A183" s="1">
        <v>182</v>
      </c>
      <c r="B183" s="1" t="s">
        <v>20</v>
      </c>
      <c r="C183" s="1" t="s">
        <v>21</v>
      </c>
      <c r="D183" s="1" t="s">
        <v>221</v>
      </c>
      <c r="E183" s="1" t="s">
        <v>29</v>
      </c>
      <c r="F183" s="1" t="s">
        <v>54</v>
      </c>
      <c r="G183" s="9">
        <v>44818</v>
      </c>
      <c r="H183" s="1">
        <v>112762</v>
      </c>
      <c r="I183" s="1">
        <v>11077</v>
      </c>
      <c r="J183" s="1">
        <v>4.7</v>
      </c>
      <c r="L183" s="14"/>
    </row>
    <row r="184" spans="1:12" x14ac:dyDescent="0.25">
      <c r="A184" s="1">
        <v>183</v>
      </c>
      <c r="B184" s="1" t="s">
        <v>10</v>
      </c>
      <c r="C184" s="1" t="s">
        <v>41</v>
      </c>
      <c r="D184" s="1" t="s">
        <v>222</v>
      </c>
      <c r="E184" s="1" t="s">
        <v>29</v>
      </c>
      <c r="F184" s="1" t="s">
        <v>46</v>
      </c>
      <c r="G184" s="9">
        <v>44574</v>
      </c>
      <c r="H184" s="1">
        <v>70907</v>
      </c>
      <c r="I184" s="1">
        <v>12896</v>
      </c>
      <c r="J184" s="1">
        <v>3.6</v>
      </c>
      <c r="L184" s="14"/>
    </row>
    <row r="185" spans="1:12" x14ac:dyDescent="0.25">
      <c r="A185" s="1">
        <v>184</v>
      </c>
      <c r="B185" s="1" t="s">
        <v>44</v>
      </c>
      <c r="C185" s="1" t="s">
        <v>38</v>
      </c>
      <c r="D185" s="1" t="s">
        <v>223</v>
      </c>
      <c r="E185" s="1" t="s">
        <v>18</v>
      </c>
      <c r="F185" s="1" t="s">
        <v>14</v>
      </c>
      <c r="G185" s="9">
        <v>43324</v>
      </c>
      <c r="H185" s="1">
        <v>73202</v>
      </c>
      <c r="I185" s="1">
        <v>18134</v>
      </c>
      <c r="J185" s="1">
        <v>3.5</v>
      </c>
      <c r="L185" s="14"/>
    </row>
    <row r="186" spans="1:12" x14ac:dyDescent="0.25">
      <c r="A186" s="1">
        <v>185</v>
      </c>
      <c r="B186" s="1" t="s">
        <v>44</v>
      </c>
      <c r="C186" s="1" t="s">
        <v>16</v>
      </c>
      <c r="D186" s="1" t="s">
        <v>224</v>
      </c>
      <c r="E186" s="1" t="s">
        <v>23</v>
      </c>
      <c r="F186" s="1" t="s">
        <v>27</v>
      </c>
      <c r="G186" s="9">
        <v>44279</v>
      </c>
      <c r="H186" s="1">
        <v>43595</v>
      </c>
      <c r="I186" s="1">
        <v>9830</v>
      </c>
      <c r="J186" s="1">
        <v>3.3</v>
      </c>
      <c r="L186" s="14"/>
    </row>
    <row r="187" spans="1:12" x14ac:dyDescent="0.25">
      <c r="A187" s="1">
        <v>186</v>
      </c>
      <c r="B187" s="1" t="s">
        <v>24</v>
      </c>
      <c r="C187" s="1" t="s">
        <v>11</v>
      </c>
      <c r="D187" s="1" t="s">
        <v>225</v>
      </c>
      <c r="E187" s="1" t="s">
        <v>18</v>
      </c>
      <c r="F187" s="1" t="s">
        <v>31</v>
      </c>
      <c r="G187" s="9">
        <v>44776</v>
      </c>
      <c r="H187" s="1">
        <v>118019</v>
      </c>
      <c r="I187" s="1">
        <v>6306</v>
      </c>
      <c r="J187" s="1">
        <v>2.6</v>
      </c>
      <c r="L187" s="14"/>
    </row>
    <row r="188" spans="1:12" x14ac:dyDescent="0.25">
      <c r="A188" s="1">
        <v>187</v>
      </c>
      <c r="B188" s="1" t="s">
        <v>32</v>
      </c>
      <c r="C188" s="1" t="s">
        <v>21</v>
      </c>
      <c r="D188" s="1" t="s">
        <v>226</v>
      </c>
      <c r="E188" s="1" t="s">
        <v>40</v>
      </c>
      <c r="F188" s="1" t="s">
        <v>27</v>
      </c>
      <c r="G188" s="9">
        <v>44606</v>
      </c>
      <c r="H188" s="1">
        <v>92528</v>
      </c>
      <c r="I188" s="1">
        <v>19613</v>
      </c>
      <c r="J188" s="1">
        <v>3.7</v>
      </c>
      <c r="L188" s="14"/>
    </row>
    <row r="189" spans="1:12" x14ac:dyDescent="0.25">
      <c r="A189" s="1">
        <v>188</v>
      </c>
      <c r="B189" s="1" t="s">
        <v>20</v>
      </c>
      <c r="C189" s="1" t="s">
        <v>16</v>
      </c>
      <c r="D189" s="1" t="s">
        <v>227</v>
      </c>
      <c r="E189" s="1" t="s">
        <v>23</v>
      </c>
      <c r="F189" s="1" t="s">
        <v>54</v>
      </c>
      <c r="G189" s="9">
        <v>44304</v>
      </c>
      <c r="H189" s="1">
        <v>70338</v>
      </c>
      <c r="I189" s="1">
        <v>8971</v>
      </c>
      <c r="J189" s="1">
        <v>4.7</v>
      </c>
      <c r="L189" s="14"/>
    </row>
    <row r="190" spans="1:12" x14ac:dyDescent="0.25">
      <c r="A190" s="1">
        <v>189</v>
      </c>
      <c r="B190" s="1" t="s">
        <v>37</v>
      </c>
      <c r="C190" s="1" t="s">
        <v>38</v>
      </c>
      <c r="D190" s="1" t="s">
        <v>228</v>
      </c>
      <c r="E190" s="1" t="s">
        <v>13</v>
      </c>
      <c r="F190" s="1" t="s">
        <v>31</v>
      </c>
      <c r="G190" s="9">
        <v>44876</v>
      </c>
      <c r="H190" s="1">
        <v>112430</v>
      </c>
      <c r="I190" s="1">
        <v>3961</v>
      </c>
      <c r="J190" s="1">
        <v>2.7</v>
      </c>
      <c r="L190" s="14"/>
    </row>
    <row r="191" spans="1:12" x14ac:dyDescent="0.25">
      <c r="A191" s="1">
        <v>190</v>
      </c>
      <c r="B191" s="1" t="s">
        <v>24</v>
      </c>
      <c r="C191" s="1" t="s">
        <v>16</v>
      </c>
      <c r="D191" s="1" t="s">
        <v>229</v>
      </c>
      <c r="E191" s="1" t="s">
        <v>18</v>
      </c>
      <c r="F191" s="1" t="s">
        <v>19</v>
      </c>
      <c r="G191" s="9">
        <v>43297</v>
      </c>
      <c r="H191" s="1">
        <v>54605</v>
      </c>
      <c r="I191" s="1">
        <v>11710</v>
      </c>
      <c r="J191" s="1">
        <v>2.4</v>
      </c>
      <c r="L191" s="14"/>
    </row>
    <row r="192" spans="1:12" x14ac:dyDescent="0.25">
      <c r="A192" s="1">
        <v>191</v>
      </c>
      <c r="B192" s="1" t="s">
        <v>24</v>
      </c>
      <c r="C192" s="1" t="s">
        <v>38</v>
      </c>
      <c r="D192" s="1" t="s">
        <v>230</v>
      </c>
      <c r="E192" s="1" t="s">
        <v>29</v>
      </c>
      <c r="F192" s="1" t="s">
        <v>46</v>
      </c>
      <c r="G192" s="9">
        <v>44972</v>
      </c>
      <c r="H192" s="1">
        <v>45015</v>
      </c>
      <c r="I192" s="1">
        <v>8628</v>
      </c>
      <c r="J192" s="1">
        <v>4.4000000000000004</v>
      </c>
      <c r="L192" s="14"/>
    </row>
    <row r="193" spans="1:12" x14ac:dyDescent="0.25">
      <c r="A193" s="1">
        <v>192</v>
      </c>
      <c r="B193" s="1" t="s">
        <v>10</v>
      </c>
      <c r="C193" s="1" t="s">
        <v>38</v>
      </c>
      <c r="D193" s="1" t="s">
        <v>231</v>
      </c>
      <c r="E193" s="1" t="s">
        <v>13</v>
      </c>
      <c r="F193" s="1" t="s">
        <v>31</v>
      </c>
      <c r="G193" s="9">
        <v>44286</v>
      </c>
      <c r="H193" s="1">
        <v>113741</v>
      </c>
      <c r="I193" s="1">
        <v>15256</v>
      </c>
      <c r="J193" s="1">
        <v>2.5</v>
      </c>
      <c r="L193" s="14"/>
    </row>
    <row r="194" spans="1:12" x14ac:dyDescent="0.25">
      <c r="A194" s="1">
        <v>193</v>
      </c>
      <c r="B194" s="1" t="s">
        <v>24</v>
      </c>
      <c r="C194" s="1" t="s">
        <v>25</v>
      </c>
      <c r="D194" s="1" t="s">
        <v>232</v>
      </c>
      <c r="E194" s="1" t="s">
        <v>40</v>
      </c>
      <c r="F194" s="1" t="s">
        <v>27</v>
      </c>
      <c r="G194" s="9">
        <v>43731</v>
      </c>
      <c r="H194" s="1">
        <v>64406</v>
      </c>
      <c r="I194" s="1">
        <v>15297</v>
      </c>
      <c r="J194" s="1">
        <v>4.3</v>
      </c>
      <c r="L194" s="14"/>
    </row>
    <row r="195" spans="1:12" x14ac:dyDescent="0.25">
      <c r="A195" s="1">
        <v>194</v>
      </c>
      <c r="B195" s="1" t="s">
        <v>10</v>
      </c>
      <c r="C195" s="1" t="s">
        <v>41</v>
      </c>
      <c r="D195" s="1" t="s">
        <v>233</v>
      </c>
      <c r="E195" s="1" t="s">
        <v>13</v>
      </c>
      <c r="F195" s="1" t="s">
        <v>54</v>
      </c>
      <c r="G195" s="9">
        <v>44446</v>
      </c>
      <c r="H195" s="1">
        <v>34396</v>
      </c>
      <c r="I195" s="1">
        <v>13027</v>
      </c>
      <c r="J195" s="1">
        <v>3.3</v>
      </c>
      <c r="L195" s="14"/>
    </row>
    <row r="196" spans="1:12" x14ac:dyDescent="0.25">
      <c r="A196" s="1">
        <v>195</v>
      </c>
      <c r="B196" s="1" t="s">
        <v>48</v>
      </c>
      <c r="C196" s="1" t="s">
        <v>25</v>
      </c>
      <c r="D196" s="1" t="s">
        <v>234</v>
      </c>
      <c r="E196" s="1" t="s">
        <v>40</v>
      </c>
      <c r="F196" s="1" t="s">
        <v>31</v>
      </c>
      <c r="G196" s="9">
        <v>44665</v>
      </c>
      <c r="H196" s="1">
        <v>34240</v>
      </c>
      <c r="I196" s="1">
        <v>4950</v>
      </c>
      <c r="J196" s="1">
        <v>4.3</v>
      </c>
      <c r="L196" s="14"/>
    </row>
    <row r="197" spans="1:12" x14ac:dyDescent="0.25">
      <c r="A197" s="1">
        <v>196</v>
      </c>
      <c r="B197" s="1" t="s">
        <v>44</v>
      </c>
      <c r="C197" s="1" t="s">
        <v>16</v>
      </c>
      <c r="D197" s="1" t="s">
        <v>235</v>
      </c>
      <c r="E197" s="1" t="s">
        <v>29</v>
      </c>
      <c r="F197" s="1" t="s">
        <v>14</v>
      </c>
      <c r="G197" s="9">
        <v>43287</v>
      </c>
      <c r="H197" s="1">
        <v>57269</v>
      </c>
      <c r="I197" s="1">
        <v>2009</v>
      </c>
      <c r="J197" s="1">
        <v>3.8</v>
      </c>
      <c r="L197" s="14"/>
    </row>
    <row r="198" spans="1:12" x14ac:dyDescent="0.25">
      <c r="A198" s="1">
        <v>197</v>
      </c>
      <c r="B198" s="1" t="s">
        <v>10</v>
      </c>
      <c r="C198" s="1" t="s">
        <v>64</v>
      </c>
      <c r="D198" s="1" t="s">
        <v>236</v>
      </c>
      <c r="E198" s="1" t="s">
        <v>29</v>
      </c>
      <c r="F198" s="1" t="s">
        <v>14</v>
      </c>
      <c r="G198" s="9">
        <v>43775</v>
      </c>
      <c r="H198" s="1">
        <v>66938</v>
      </c>
      <c r="I198" s="1">
        <v>6647</v>
      </c>
      <c r="J198" s="1">
        <v>2.8</v>
      </c>
      <c r="L198" s="14"/>
    </row>
    <row r="199" spans="1:12" x14ac:dyDescent="0.25">
      <c r="A199" s="1">
        <v>198</v>
      </c>
      <c r="B199" s="1" t="s">
        <v>48</v>
      </c>
      <c r="C199" s="1" t="s">
        <v>35</v>
      </c>
      <c r="D199" s="1" t="s">
        <v>237</v>
      </c>
      <c r="E199" s="1" t="s">
        <v>23</v>
      </c>
      <c r="F199" s="1" t="s">
        <v>46</v>
      </c>
      <c r="G199" s="9">
        <v>43745</v>
      </c>
      <c r="H199" s="1">
        <v>43842</v>
      </c>
      <c r="I199" s="1">
        <v>2140</v>
      </c>
      <c r="J199" s="1">
        <v>2.2999999999999998</v>
      </c>
      <c r="L199" s="14"/>
    </row>
    <row r="200" spans="1:12" x14ac:dyDescent="0.25">
      <c r="A200" s="1">
        <v>199</v>
      </c>
      <c r="B200" s="1" t="s">
        <v>48</v>
      </c>
      <c r="C200" s="1" t="s">
        <v>38</v>
      </c>
      <c r="D200" s="1" t="s">
        <v>238</v>
      </c>
      <c r="E200" s="1" t="s">
        <v>23</v>
      </c>
      <c r="F200" s="1" t="s">
        <v>31</v>
      </c>
      <c r="G200" s="9">
        <v>43305</v>
      </c>
      <c r="H200" s="1">
        <v>117099</v>
      </c>
      <c r="I200" s="1">
        <v>14062</v>
      </c>
      <c r="J200" s="1">
        <v>3.8</v>
      </c>
      <c r="L200" s="14"/>
    </row>
    <row r="201" spans="1:12" x14ac:dyDescent="0.25">
      <c r="A201" s="1">
        <v>200</v>
      </c>
      <c r="B201" s="1" t="s">
        <v>24</v>
      </c>
      <c r="C201" s="1" t="s">
        <v>41</v>
      </c>
      <c r="D201" s="1" t="s">
        <v>239</v>
      </c>
      <c r="E201" s="1" t="s">
        <v>29</v>
      </c>
      <c r="F201" s="1" t="s">
        <v>19</v>
      </c>
      <c r="G201" s="9">
        <v>44053</v>
      </c>
      <c r="H201" s="1">
        <v>108184</v>
      </c>
      <c r="I201" s="1">
        <v>9779</v>
      </c>
      <c r="J201" s="1">
        <v>4.8</v>
      </c>
      <c r="L201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workbookViewId="0">
      <selection activeCell="K7" sqref="K7"/>
    </sheetView>
  </sheetViews>
  <sheetFormatPr defaultRowHeight="15" x14ac:dyDescent="0.25"/>
  <cols>
    <col min="5" max="5" width="10.28515625" bestFit="1" customWidth="1"/>
  </cols>
  <sheetData>
    <row r="1" spans="1:11" x14ac:dyDescent="0.25">
      <c r="A1" s="7" t="s">
        <v>240</v>
      </c>
      <c r="B1" s="7" t="s">
        <v>0</v>
      </c>
      <c r="C1" s="7" t="s">
        <v>241</v>
      </c>
      <c r="D1" s="7" t="s">
        <v>242</v>
      </c>
      <c r="E1" s="7" t="s">
        <v>243</v>
      </c>
      <c r="F1" s="7" t="s">
        <v>244</v>
      </c>
      <c r="G1" s="7" t="s">
        <v>245</v>
      </c>
      <c r="H1" s="7" t="s">
        <v>246</v>
      </c>
      <c r="J1" s="21" t="s">
        <v>429</v>
      </c>
      <c r="K1" s="21" t="s">
        <v>430</v>
      </c>
    </row>
    <row r="2" spans="1:11" x14ac:dyDescent="0.25">
      <c r="A2" s="1">
        <v>1</v>
      </c>
      <c r="B2" s="1">
        <v>69</v>
      </c>
      <c r="C2" s="1" t="s">
        <v>247</v>
      </c>
      <c r="D2" s="1" t="s">
        <v>248</v>
      </c>
      <c r="E2" s="9">
        <v>44847</v>
      </c>
      <c r="F2" s="1">
        <v>10</v>
      </c>
      <c r="G2" s="1">
        <v>46266</v>
      </c>
      <c r="H2" s="1">
        <v>10</v>
      </c>
      <c r="J2">
        <v>26</v>
      </c>
      <c r="K2">
        <f>WEEKDAY(E2)</f>
        <v>5</v>
      </c>
    </row>
    <row r="3" spans="1:11" x14ac:dyDescent="0.25">
      <c r="A3" s="1">
        <v>2</v>
      </c>
      <c r="B3" s="1">
        <v>65</v>
      </c>
      <c r="C3" s="1" t="s">
        <v>249</v>
      </c>
      <c r="D3" s="1" t="s">
        <v>250</v>
      </c>
      <c r="E3" s="9">
        <v>44618</v>
      </c>
      <c r="F3" s="1">
        <v>7</v>
      </c>
      <c r="G3" s="1">
        <v>12193</v>
      </c>
      <c r="H3" s="1">
        <v>10</v>
      </c>
      <c r="J3">
        <v>27</v>
      </c>
      <c r="K3">
        <f>WEEKNUM(E2)</f>
        <v>42</v>
      </c>
    </row>
    <row r="4" spans="1:11" x14ac:dyDescent="0.25">
      <c r="A4" s="1">
        <v>3</v>
      </c>
      <c r="B4" s="1">
        <v>109</v>
      </c>
      <c r="C4" s="1" t="s">
        <v>249</v>
      </c>
      <c r="D4" s="1" t="s">
        <v>250</v>
      </c>
      <c r="E4" s="9">
        <v>45350</v>
      </c>
      <c r="F4" s="1">
        <v>2</v>
      </c>
      <c r="G4" s="1">
        <v>66733</v>
      </c>
      <c r="H4" s="1">
        <v>10</v>
      </c>
      <c r="J4">
        <v>41</v>
      </c>
      <c r="K4">
        <f>POWER(F2,2)</f>
        <v>100</v>
      </c>
    </row>
    <row r="5" spans="1:11" x14ac:dyDescent="0.25">
      <c r="A5" s="1">
        <v>4</v>
      </c>
      <c r="B5" s="1">
        <v>38</v>
      </c>
      <c r="C5" s="1" t="s">
        <v>247</v>
      </c>
      <c r="D5" s="1" t="s">
        <v>251</v>
      </c>
      <c r="E5" s="9">
        <v>45362</v>
      </c>
      <c r="F5" s="1">
        <v>5</v>
      </c>
      <c r="G5" s="1">
        <v>23692</v>
      </c>
      <c r="H5" s="1">
        <v>15</v>
      </c>
      <c r="J5">
        <v>45</v>
      </c>
      <c r="K5">
        <f>RANK(F2,F:F,0)</f>
        <v>1</v>
      </c>
    </row>
    <row r="6" spans="1:11" x14ac:dyDescent="0.25">
      <c r="A6" s="1">
        <v>5</v>
      </c>
      <c r="B6" s="1">
        <v>90</v>
      </c>
      <c r="C6" s="1" t="s">
        <v>249</v>
      </c>
      <c r="D6" s="1" t="s">
        <v>251</v>
      </c>
      <c r="E6" s="9">
        <v>45283</v>
      </c>
      <c r="F6" s="1">
        <v>2</v>
      </c>
      <c r="G6" s="1">
        <v>8146</v>
      </c>
      <c r="H6" s="1">
        <v>15</v>
      </c>
      <c r="J6">
        <v>48</v>
      </c>
      <c r="K6">
        <f>AVERAGE(F2:F4)</f>
        <v>6.333333333333333</v>
      </c>
    </row>
    <row r="7" spans="1:11" x14ac:dyDescent="0.25">
      <c r="A7" s="1">
        <v>6</v>
      </c>
      <c r="B7" s="1">
        <v>183</v>
      </c>
      <c r="C7" s="1" t="s">
        <v>252</v>
      </c>
      <c r="D7" s="1" t="s">
        <v>250</v>
      </c>
      <c r="E7" s="9">
        <v>45036</v>
      </c>
      <c r="F7" s="1">
        <v>9</v>
      </c>
      <c r="G7" s="1">
        <v>19976</v>
      </c>
      <c r="H7" s="1">
        <v>15</v>
      </c>
    </row>
    <row r="8" spans="1:11" x14ac:dyDescent="0.25">
      <c r="A8" s="1">
        <v>7</v>
      </c>
      <c r="B8" s="1">
        <v>151</v>
      </c>
      <c r="C8" s="1" t="s">
        <v>252</v>
      </c>
      <c r="D8" s="1" t="s">
        <v>253</v>
      </c>
      <c r="E8" s="9">
        <v>45116</v>
      </c>
      <c r="F8" s="1">
        <v>1</v>
      </c>
      <c r="G8" s="1">
        <v>26506</v>
      </c>
      <c r="H8" s="1">
        <v>0</v>
      </c>
    </row>
    <row r="9" spans="1:11" x14ac:dyDescent="0.25">
      <c r="A9" s="1">
        <v>8</v>
      </c>
      <c r="B9" s="1">
        <v>173</v>
      </c>
      <c r="C9" s="1" t="s">
        <v>254</v>
      </c>
      <c r="D9" s="1" t="s">
        <v>248</v>
      </c>
      <c r="E9" s="9">
        <v>45201</v>
      </c>
      <c r="F9" s="1">
        <v>4</v>
      </c>
      <c r="G9" s="1">
        <v>48175</v>
      </c>
      <c r="H9" s="1">
        <v>10</v>
      </c>
    </row>
    <row r="10" spans="1:11" x14ac:dyDescent="0.25">
      <c r="A10" s="1">
        <v>9</v>
      </c>
      <c r="B10" s="1">
        <v>5</v>
      </c>
      <c r="C10" s="1" t="s">
        <v>254</v>
      </c>
      <c r="D10" s="1" t="s">
        <v>251</v>
      </c>
      <c r="E10" s="9">
        <v>45178</v>
      </c>
      <c r="F10" s="1">
        <v>1</v>
      </c>
      <c r="G10" s="1">
        <v>70169</v>
      </c>
      <c r="H10" s="1">
        <v>0</v>
      </c>
    </row>
    <row r="11" spans="1:11" x14ac:dyDescent="0.25">
      <c r="A11" s="1">
        <v>10</v>
      </c>
      <c r="B11" s="1">
        <v>60</v>
      </c>
      <c r="C11" s="1" t="s">
        <v>252</v>
      </c>
      <c r="D11" s="1" t="s">
        <v>255</v>
      </c>
      <c r="E11" s="9">
        <v>45444</v>
      </c>
      <c r="F11" s="1">
        <v>6</v>
      </c>
      <c r="G11" s="1">
        <v>9202</v>
      </c>
      <c r="H11" s="1">
        <v>15</v>
      </c>
    </row>
    <row r="12" spans="1:11" x14ac:dyDescent="0.25">
      <c r="A12" s="1">
        <v>11</v>
      </c>
      <c r="B12" s="1">
        <v>82</v>
      </c>
      <c r="C12" s="1" t="s">
        <v>254</v>
      </c>
      <c r="D12" s="1" t="s">
        <v>253</v>
      </c>
      <c r="E12" s="9">
        <v>44697</v>
      </c>
      <c r="F12" s="1">
        <v>9</v>
      </c>
      <c r="G12" s="1">
        <v>12542</v>
      </c>
      <c r="H12" s="1">
        <v>5</v>
      </c>
    </row>
    <row r="13" spans="1:11" x14ac:dyDescent="0.25">
      <c r="A13" s="1">
        <v>12</v>
      </c>
      <c r="B13" s="1">
        <v>171</v>
      </c>
      <c r="C13" s="1" t="s">
        <v>254</v>
      </c>
      <c r="D13" s="1" t="s">
        <v>253</v>
      </c>
      <c r="E13" s="9">
        <v>45196</v>
      </c>
      <c r="F13" s="1">
        <v>10</v>
      </c>
      <c r="G13" s="1">
        <v>60662</v>
      </c>
      <c r="H13" s="1">
        <v>5</v>
      </c>
    </row>
    <row r="14" spans="1:11" x14ac:dyDescent="0.25">
      <c r="A14" s="1">
        <v>13</v>
      </c>
      <c r="B14" s="1">
        <v>130</v>
      </c>
      <c r="C14" s="1" t="s">
        <v>254</v>
      </c>
      <c r="D14" s="1" t="s">
        <v>253</v>
      </c>
      <c r="E14" s="9">
        <v>44689</v>
      </c>
      <c r="F14" s="1">
        <v>8</v>
      </c>
      <c r="G14" s="1">
        <v>49048</v>
      </c>
      <c r="H14" s="1">
        <v>0</v>
      </c>
    </row>
    <row r="15" spans="1:11" x14ac:dyDescent="0.25">
      <c r="A15" s="1">
        <v>14</v>
      </c>
      <c r="B15" s="1">
        <v>166</v>
      </c>
      <c r="C15" s="1" t="s">
        <v>254</v>
      </c>
      <c r="D15" s="1" t="s">
        <v>255</v>
      </c>
      <c r="E15" s="9">
        <v>45165</v>
      </c>
      <c r="F15" s="1">
        <v>9</v>
      </c>
      <c r="G15" s="1">
        <v>76903</v>
      </c>
      <c r="H15" s="1">
        <v>15</v>
      </c>
    </row>
    <row r="16" spans="1:11" x14ac:dyDescent="0.25">
      <c r="A16" s="1">
        <v>15</v>
      </c>
      <c r="B16" s="1">
        <v>7</v>
      </c>
      <c r="C16" s="1" t="s">
        <v>249</v>
      </c>
      <c r="D16" s="1" t="s">
        <v>250</v>
      </c>
      <c r="E16" s="9">
        <v>45545</v>
      </c>
      <c r="F16" s="1">
        <v>10</v>
      </c>
      <c r="G16" s="1">
        <v>21355</v>
      </c>
      <c r="H16" s="1">
        <v>10</v>
      </c>
    </row>
    <row r="17" spans="1:8" x14ac:dyDescent="0.25">
      <c r="A17" s="1">
        <v>16</v>
      </c>
      <c r="B17" s="1">
        <v>142</v>
      </c>
      <c r="C17" s="1" t="s">
        <v>254</v>
      </c>
      <c r="D17" s="1" t="s">
        <v>248</v>
      </c>
      <c r="E17" s="9">
        <v>44707</v>
      </c>
      <c r="F17" s="1">
        <v>8</v>
      </c>
      <c r="G17" s="1">
        <v>11602</v>
      </c>
      <c r="H17" s="1">
        <v>0</v>
      </c>
    </row>
    <row r="18" spans="1:8" x14ac:dyDescent="0.25">
      <c r="A18" s="1">
        <v>17</v>
      </c>
      <c r="B18" s="1">
        <v>152</v>
      </c>
      <c r="C18" s="1" t="s">
        <v>254</v>
      </c>
      <c r="D18" s="1" t="s">
        <v>255</v>
      </c>
      <c r="E18" s="9">
        <v>44930</v>
      </c>
      <c r="F18" s="1">
        <v>5</v>
      </c>
      <c r="G18" s="1">
        <v>11025</v>
      </c>
      <c r="H18" s="1">
        <v>0</v>
      </c>
    </row>
    <row r="19" spans="1:8" x14ac:dyDescent="0.25">
      <c r="A19" s="1">
        <v>18</v>
      </c>
      <c r="B19" s="1">
        <v>103</v>
      </c>
      <c r="C19" s="1" t="s">
        <v>249</v>
      </c>
      <c r="D19" s="1" t="s">
        <v>253</v>
      </c>
      <c r="E19" s="9">
        <v>45134</v>
      </c>
      <c r="F19" s="1">
        <v>1</v>
      </c>
      <c r="G19" s="1">
        <v>18626</v>
      </c>
      <c r="H19" s="1">
        <v>15</v>
      </c>
    </row>
    <row r="20" spans="1:8" x14ac:dyDescent="0.25">
      <c r="A20" s="1">
        <v>19</v>
      </c>
      <c r="B20" s="1">
        <v>153</v>
      </c>
      <c r="C20" s="1" t="s">
        <v>249</v>
      </c>
      <c r="D20" s="1" t="s">
        <v>253</v>
      </c>
      <c r="E20" s="9">
        <v>45302</v>
      </c>
      <c r="F20" s="1">
        <v>2</v>
      </c>
      <c r="G20" s="1">
        <v>23896</v>
      </c>
      <c r="H20" s="1">
        <v>0</v>
      </c>
    </row>
    <row r="21" spans="1:8" x14ac:dyDescent="0.25">
      <c r="A21" s="1">
        <v>20</v>
      </c>
      <c r="B21" s="1">
        <v>123</v>
      </c>
      <c r="C21" s="1" t="s">
        <v>252</v>
      </c>
      <c r="D21" s="1" t="s">
        <v>253</v>
      </c>
      <c r="E21" s="9">
        <v>44848</v>
      </c>
      <c r="F21" s="1">
        <v>6</v>
      </c>
      <c r="G21" s="1">
        <v>34388</v>
      </c>
      <c r="H21" s="1">
        <v>5</v>
      </c>
    </row>
    <row r="22" spans="1:8" x14ac:dyDescent="0.25">
      <c r="A22" s="1">
        <v>21</v>
      </c>
      <c r="B22" s="1">
        <v>25</v>
      </c>
      <c r="C22" s="1" t="s">
        <v>249</v>
      </c>
      <c r="D22" s="1" t="s">
        <v>251</v>
      </c>
      <c r="E22" s="9">
        <v>44922</v>
      </c>
      <c r="F22" s="1">
        <v>7</v>
      </c>
      <c r="G22" s="1">
        <v>24364</v>
      </c>
      <c r="H22" s="1">
        <v>5</v>
      </c>
    </row>
    <row r="23" spans="1:8" x14ac:dyDescent="0.25">
      <c r="A23" s="1">
        <v>22</v>
      </c>
      <c r="B23" s="1">
        <v>14</v>
      </c>
      <c r="C23" s="1" t="s">
        <v>252</v>
      </c>
      <c r="D23" s="1" t="s">
        <v>251</v>
      </c>
      <c r="E23" s="9">
        <v>44900</v>
      </c>
      <c r="F23" s="1">
        <v>10</v>
      </c>
      <c r="G23" s="1">
        <v>25182</v>
      </c>
      <c r="H23" s="1">
        <v>15</v>
      </c>
    </row>
    <row r="24" spans="1:8" x14ac:dyDescent="0.25">
      <c r="A24" s="1">
        <v>23</v>
      </c>
      <c r="B24" s="1">
        <v>187</v>
      </c>
      <c r="C24" s="1" t="s">
        <v>249</v>
      </c>
      <c r="D24" s="1" t="s">
        <v>251</v>
      </c>
      <c r="E24" s="9">
        <v>44871</v>
      </c>
      <c r="F24" s="1">
        <v>4</v>
      </c>
      <c r="G24" s="1">
        <v>25804</v>
      </c>
      <c r="H24" s="1">
        <v>0</v>
      </c>
    </row>
    <row r="25" spans="1:8" x14ac:dyDescent="0.25">
      <c r="A25" s="1">
        <v>24</v>
      </c>
      <c r="B25" s="1">
        <v>73</v>
      </c>
      <c r="C25" s="1" t="s">
        <v>247</v>
      </c>
      <c r="D25" s="1" t="s">
        <v>255</v>
      </c>
      <c r="E25" s="9">
        <v>45040</v>
      </c>
      <c r="F25" s="1">
        <v>8</v>
      </c>
      <c r="G25" s="1">
        <v>22030</v>
      </c>
      <c r="H25" s="1">
        <v>15</v>
      </c>
    </row>
    <row r="26" spans="1:8" x14ac:dyDescent="0.25">
      <c r="A26" s="1">
        <v>25</v>
      </c>
      <c r="B26" s="1">
        <v>117</v>
      </c>
      <c r="C26" s="1" t="s">
        <v>254</v>
      </c>
      <c r="D26" s="1" t="s">
        <v>253</v>
      </c>
      <c r="E26" s="9">
        <v>44990</v>
      </c>
      <c r="F26" s="1">
        <v>3</v>
      </c>
      <c r="G26" s="1">
        <v>66636</v>
      </c>
      <c r="H26" s="1">
        <v>15</v>
      </c>
    </row>
    <row r="27" spans="1:8" x14ac:dyDescent="0.25">
      <c r="A27" s="1">
        <v>26</v>
      </c>
      <c r="B27" s="1">
        <v>103</v>
      </c>
      <c r="C27" s="1" t="s">
        <v>252</v>
      </c>
      <c r="D27" s="1" t="s">
        <v>248</v>
      </c>
      <c r="E27" s="9">
        <v>44803</v>
      </c>
      <c r="F27" s="1">
        <v>4</v>
      </c>
      <c r="G27" s="1">
        <v>44311</v>
      </c>
      <c r="H27" s="1">
        <v>0</v>
      </c>
    </row>
    <row r="28" spans="1:8" x14ac:dyDescent="0.25">
      <c r="A28" s="1">
        <v>27</v>
      </c>
      <c r="B28" s="1">
        <v>82</v>
      </c>
      <c r="C28" s="1" t="s">
        <v>247</v>
      </c>
      <c r="D28" s="1" t="s">
        <v>253</v>
      </c>
      <c r="E28" s="9">
        <v>44929</v>
      </c>
      <c r="F28" s="1">
        <v>10</v>
      </c>
      <c r="G28" s="1">
        <v>67997</v>
      </c>
      <c r="H28" s="1">
        <v>5</v>
      </c>
    </row>
    <row r="29" spans="1:8" x14ac:dyDescent="0.25">
      <c r="A29" s="1">
        <v>28</v>
      </c>
      <c r="B29" s="1">
        <v>26</v>
      </c>
      <c r="C29" s="1" t="s">
        <v>254</v>
      </c>
      <c r="D29" s="1" t="s">
        <v>253</v>
      </c>
      <c r="E29" s="9">
        <v>45111</v>
      </c>
      <c r="F29" s="1">
        <v>9</v>
      </c>
      <c r="G29" s="1">
        <v>76686</v>
      </c>
      <c r="H29" s="1">
        <v>5</v>
      </c>
    </row>
    <row r="30" spans="1:8" x14ac:dyDescent="0.25">
      <c r="A30" s="1">
        <v>29</v>
      </c>
      <c r="B30" s="1">
        <v>120</v>
      </c>
      <c r="C30" s="1" t="s">
        <v>249</v>
      </c>
      <c r="D30" s="1" t="s">
        <v>253</v>
      </c>
      <c r="E30" s="9">
        <v>45227</v>
      </c>
      <c r="F30" s="1">
        <v>6</v>
      </c>
      <c r="G30" s="1">
        <v>15092</v>
      </c>
      <c r="H30" s="1">
        <v>15</v>
      </c>
    </row>
    <row r="31" spans="1:8" x14ac:dyDescent="0.25">
      <c r="A31" s="1">
        <v>30</v>
      </c>
      <c r="B31" s="1">
        <v>50</v>
      </c>
      <c r="C31" s="1" t="s">
        <v>247</v>
      </c>
      <c r="D31" s="1" t="s">
        <v>253</v>
      </c>
      <c r="E31" s="9">
        <v>45461</v>
      </c>
      <c r="F31" s="1">
        <v>2</v>
      </c>
      <c r="G31" s="1">
        <v>10684</v>
      </c>
      <c r="H31" s="1">
        <v>0</v>
      </c>
    </row>
    <row r="32" spans="1:8" x14ac:dyDescent="0.25">
      <c r="A32" s="1">
        <v>31</v>
      </c>
      <c r="B32" s="1">
        <v>164</v>
      </c>
      <c r="C32" s="1" t="s">
        <v>252</v>
      </c>
      <c r="D32" s="1" t="s">
        <v>255</v>
      </c>
      <c r="E32" s="9">
        <v>44640</v>
      </c>
      <c r="F32" s="1">
        <v>4</v>
      </c>
      <c r="G32" s="1">
        <v>73787</v>
      </c>
      <c r="H32" s="1">
        <v>10</v>
      </c>
    </row>
    <row r="33" spans="1:8" x14ac:dyDescent="0.25">
      <c r="A33" s="1">
        <v>32</v>
      </c>
      <c r="B33" s="1">
        <v>90</v>
      </c>
      <c r="C33" s="1" t="s">
        <v>254</v>
      </c>
      <c r="D33" s="1" t="s">
        <v>248</v>
      </c>
      <c r="E33" s="9">
        <v>45133</v>
      </c>
      <c r="F33" s="1">
        <v>3</v>
      </c>
      <c r="G33" s="1">
        <v>13573</v>
      </c>
      <c r="H33" s="1">
        <v>0</v>
      </c>
    </row>
    <row r="34" spans="1:8" x14ac:dyDescent="0.25">
      <c r="A34" s="1">
        <v>33</v>
      </c>
      <c r="B34" s="1">
        <v>29</v>
      </c>
      <c r="C34" s="1" t="s">
        <v>252</v>
      </c>
      <c r="D34" s="1" t="s">
        <v>248</v>
      </c>
      <c r="E34" s="9">
        <v>45341</v>
      </c>
      <c r="F34" s="1">
        <v>4</v>
      </c>
      <c r="G34" s="1">
        <v>50209</v>
      </c>
      <c r="H34" s="1">
        <v>15</v>
      </c>
    </row>
    <row r="35" spans="1:8" x14ac:dyDescent="0.25">
      <c r="A35" s="1">
        <v>34</v>
      </c>
      <c r="B35" s="1">
        <v>130</v>
      </c>
      <c r="C35" s="1" t="s">
        <v>254</v>
      </c>
      <c r="D35" s="1" t="s">
        <v>255</v>
      </c>
      <c r="E35" s="9">
        <v>45161</v>
      </c>
      <c r="F35" s="1">
        <v>3</v>
      </c>
      <c r="G35" s="1">
        <v>11915</v>
      </c>
      <c r="H35" s="1">
        <v>10</v>
      </c>
    </row>
    <row r="36" spans="1:8" x14ac:dyDescent="0.25">
      <c r="A36" s="1">
        <v>35</v>
      </c>
      <c r="B36" s="1">
        <v>139</v>
      </c>
      <c r="C36" s="1" t="s">
        <v>247</v>
      </c>
      <c r="D36" s="1" t="s">
        <v>250</v>
      </c>
      <c r="E36" s="9">
        <v>45536</v>
      </c>
      <c r="F36" s="1">
        <v>3</v>
      </c>
      <c r="G36" s="1">
        <v>13363</v>
      </c>
      <c r="H36" s="1">
        <v>5</v>
      </c>
    </row>
    <row r="37" spans="1:8" x14ac:dyDescent="0.25">
      <c r="A37" s="1">
        <v>36</v>
      </c>
      <c r="B37" s="1">
        <v>5</v>
      </c>
      <c r="C37" s="1" t="s">
        <v>254</v>
      </c>
      <c r="D37" s="1" t="s">
        <v>251</v>
      </c>
      <c r="E37" s="9">
        <v>44794</v>
      </c>
      <c r="F37" s="1">
        <v>8</v>
      </c>
      <c r="G37" s="1">
        <v>9318</v>
      </c>
      <c r="H37" s="1">
        <v>0</v>
      </c>
    </row>
    <row r="38" spans="1:8" x14ac:dyDescent="0.25">
      <c r="A38" s="1">
        <v>37</v>
      </c>
      <c r="B38" s="1">
        <v>150</v>
      </c>
      <c r="C38" s="1" t="s">
        <v>252</v>
      </c>
      <c r="D38" s="1" t="s">
        <v>250</v>
      </c>
      <c r="E38" s="9">
        <v>44697</v>
      </c>
      <c r="F38" s="1">
        <v>10</v>
      </c>
      <c r="G38" s="1">
        <v>49010</v>
      </c>
      <c r="H38" s="1">
        <v>15</v>
      </c>
    </row>
    <row r="39" spans="1:8" x14ac:dyDescent="0.25">
      <c r="A39" s="1">
        <v>38</v>
      </c>
      <c r="B39" s="1">
        <v>43</v>
      </c>
      <c r="C39" s="1" t="s">
        <v>247</v>
      </c>
      <c r="D39" s="1" t="s">
        <v>250</v>
      </c>
      <c r="E39" s="9">
        <v>45197</v>
      </c>
      <c r="F39" s="1">
        <v>4</v>
      </c>
      <c r="G39" s="1">
        <v>23806</v>
      </c>
      <c r="H39" s="1">
        <v>10</v>
      </c>
    </row>
    <row r="40" spans="1:8" x14ac:dyDescent="0.25">
      <c r="A40" s="1">
        <v>39</v>
      </c>
      <c r="B40" s="1">
        <v>156</v>
      </c>
      <c r="C40" s="1" t="s">
        <v>249</v>
      </c>
      <c r="D40" s="1" t="s">
        <v>251</v>
      </c>
      <c r="E40" s="9">
        <v>44730</v>
      </c>
      <c r="F40" s="1">
        <v>7</v>
      </c>
      <c r="G40" s="1">
        <v>55958</v>
      </c>
      <c r="H40" s="1">
        <v>15</v>
      </c>
    </row>
    <row r="41" spans="1:8" x14ac:dyDescent="0.25">
      <c r="A41" s="1">
        <v>40</v>
      </c>
      <c r="B41" s="1">
        <v>35</v>
      </c>
      <c r="C41" s="1" t="s">
        <v>249</v>
      </c>
      <c r="D41" s="1" t="s">
        <v>250</v>
      </c>
      <c r="E41" s="9">
        <v>45110</v>
      </c>
      <c r="F41" s="1">
        <v>2</v>
      </c>
      <c r="G41" s="1">
        <v>55807</v>
      </c>
      <c r="H41" s="1">
        <v>15</v>
      </c>
    </row>
    <row r="42" spans="1:8" x14ac:dyDescent="0.25">
      <c r="A42" s="1">
        <v>41</v>
      </c>
      <c r="B42" s="1">
        <v>33</v>
      </c>
      <c r="C42" s="1" t="s">
        <v>252</v>
      </c>
      <c r="D42" s="1" t="s">
        <v>255</v>
      </c>
      <c r="E42" s="9">
        <v>45512</v>
      </c>
      <c r="F42" s="1">
        <v>2</v>
      </c>
      <c r="G42" s="1">
        <v>41252</v>
      </c>
      <c r="H42" s="1">
        <v>10</v>
      </c>
    </row>
    <row r="43" spans="1:8" x14ac:dyDescent="0.25">
      <c r="A43" s="1">
        <v>42</v>
      </c>
      <c r="B43" s="1">
        <v>179</v>
      </c>
      <c r="C43" s="1" t="s">
        <v>247</v>
      </c>
      <c r="D43" s="1" t="s">
        <v>248</v>
      </c>
      <c r="E43" s="9">
        <v>44878</v>
      </c>
      <c r="F43" s="1">
        <v>5</v>
      </c>
      <c r="G43" s="1">
        <v>67424</v>
      </c>
      <c r="H43" s="1">
        <v>15</v>
      </c>
    </row>
    <row r="44" spans="1:8" x14ac:dyDescent="0.25">
      <c r="A44" s="1">
        <v>43</v>
      </c>
      <c r="B44" s="1">
        <v>25</v>
      </c>
      <c r="C44" s="1" t="s">
        <v>254</v>
      </c>
      <c r="D44" s="1" t="s">
        <v>250</v>
      </c>
      <c r="E44" s="9">
        <v>45030</v>
      </c>
      <c r="F44" s="1">
        <v>5</v>
      </c>
      <c r="G44" s="1">
        <v>38530</v>
      </c>
      <c r="H44" s="1">
        <v>10</v>
      </c>
    </row>
    <row r="45" spans="1:8" x14ac:dyDescent="0.25">
      <c r="A45" s="1">
        <v>44</v>
      </c>
      <c r="B45" s="1">
        <v>176</v>
      </c>
      <c r="C45" s="1" t="s">
        <v>252</v>
      </c>
      <c r="D45" s="1" t="s">
        <v>253</v>
      </c>
      <c r="E45" s="9">
        <v>44832</v>
      </c>
      <c r="F45" s="1">
        <v>9</v>
      </c>
      <c r="G45" s="1">
        <v>33311</v>
      </c>
      <c r="H45" s="1">
        <v>10</v>
      </c>
    </row>
    <row r="46" spans="1:8" x14ac:dyDescent="0.25">
      <c r="A46" s="1">
        <v>45</v>
      </c>
      <c r="B46" s="1">
        <v>93</v>
      </c>
      <c r="C46" s="1" t="s">
        <v>247</v>
      </c>
      <c r="D46" s="1" t="s">
        <v>248</v>
      </c>
      <c r="E46" s="9">
        <v>45088</v>
      </c>
      <c r="F46" s="1">
        <v>1</v>
      </c>
      <c r="G46" s="1">
        <v>26094</v>
      </c>
      <c r="H46" s="1">
        <v>5</v>
      </c>
    </row>
    <row r="47" spans="1:8" x14ac:dyDescent="0.25">
      <c r="A47" s="1">
        <v>46</v>
      </c>
      <c r="B47" s="1">
        <v>41</v>
      </c>
      <c r="C47" s="1" t="s">
        <v>254</v>
      </c>
      <c r="D47" s="1" t="s">
        <v>250</v>
      </c>
      <c r="E47" s="9">
        <v>44736</v>
      </c>
      <c r="F47" s="1">
        <v>2</v>
      </c>
      <c r="G47" s="1">
        <v>70620</v>
      </c>
      <c r="H47" s="1">
        <v>5</v>
      </c>
    </row>
    <row r="48" spans="1:8" x14ac:dyDescent="0.25">
      <c r="A48" s="1">
        <v>47</v>
      </c>
      <c r="B48" s="1">
        <v>51</v>
      </c>
      <c r="C48" s="1" t="s">
        <v>254</v>
      </c>
      <c r="D48" s="1" t="s">
        <v>251</v>
      </c>
      <c r="E48" s="9">
        <v>45543</v>
      </c>
      <c r="F48" s="1">
        <v>6</v>
      </c>
      <c r="G48" s="1">
        <v>66221</v>
      </c>
      <c r="H48" s="1">
        <v>10</v>
      </c>
    </row>
    <row r="49" spans="1:8" x14ac:dyDescent="0.25">
      <c r="A49" s="1">
        <v>48</v>
      </c>
      <c r="B49" s="1">
        <v>142</v>
      </c>
      <c r="C49" s="1" t="s">
        <v>252</v>
      </c>
      <c r="D49" s="1" t="s">
        <v>248</v>
      </c>
      <c r="E49" s="9">
        <v>44722</v>
      </c>
      <c r="F49" s="1">
        <v>7</v>
      </c>
      <c r="G49" s="1">
        <v>25747</v>
      </c>
      <c r="H49" s="1">
        <v>10</v>
      </c>
    </row>
    <row r="50" spans="1:8" x14ac:dyDescent="0.25">
      <c r="A50" s="1">
        <v>49</v>
      </c>
      <c r="B50" s="1">
        <v>98</v>
      </c>
      <c r="C50" s="1" t="s">
        <v>252</v>
      </c>
      <c r="D50" s="1" t="s">
        <v>251</v>
      </c>
      <c r="E50" s="9">
        <v>44839</v>
      </c>
      <c r="F50" s="1">
        <v>10</v>
      </c>
      <c r="G50" s="1">
        <v>26655</v>
      </c>
      <c r="H50" s="1">
        <v>10</v>
      </c>
    </row>
    <row r="51" spans="1:8" x14ac:dyDescent="0.25">
      <c r="A51" s="1">
        <v>50</v>
      </c>
      <c r="B51" s="1">
        <v>58</v>
      </c>
      <c r="C51" s="1" t="s">
        <v>247</v>
      </c>
      <c r="D51" s="1" t="s">
        <v>255</v>
      </c>
      <c r="E51" s="9">
        <v>44864</v>
      </c>
      <c r="F51" s="1">
        <v>6</v>
      </c>
      <c r="G51" s="1">
        <v>76230</v>
      </c>
      <c r="H51" s="1">
        <v>5</v>
      </c>
    </row>
    <row r="52" spans="1:8" x14ac:dyDescent="0.25">
      <c r="A52" s="1">
        <v>51</v>
      </c>
      <c r="B52" s="1">
        <v>99</v>
      </c>
      <c r="C52" s="1" t="s">
        <v>249</v>
      </c>
      <c r="D52" s="1" t="s">
        <v>255</v>
      </c>
      <c r="E52" s="9">
        <v>45480</v>
      </c>
      <c r="F52" s="1">
        <v>8</v>
      </c>
      <c r="G52" s="1">
        <v>23303</v>
      </c>
      <c r="H52" s="1">
        <v>5</v>
      </c>
    </row>
    <row r="53" spans="1:8" x14ac:dyDescent="0.25">
      <c r="A53" s="1">
        <v>52</v>
      </c>
      <c r="B53" s="1">
        <v>198</v>
      </c>
      <c r="C53" s="1" t="s">
        <v>247</v>
      </c>
      <c r="D53" s="1" t="s">
        <v>248</v>
      </c>
      <c r="E53" s="9">
        <v>45085</v>
      </c>
      <c r="F53" s="1">
        <v>2</v>
      </c>
      <c r="G53" s="1">
        <v>60468</v>
      </c>
      <c r="H53" s="1">
        <v>10</v>
      </c>
    </row>
    <row r="54" spans="1:8" x14ac:dyDescent="0.25">
      <c r="A54" s="1">
        <v>53</v>
      </c>
      <c r="B54" s="1">
        <v>102</v>
      </c>
      <c r="C54" s="1" t="s">
        <v>247</v>
      </c>
      <c r="D54" s="1" t="s">
        <v>253</v>
      </c>
      <c r="E54" s="9">
        <v>45482</v>
      </c>
      <c r="F54" s="1">
        <v>3</v>
      </c>
      <c r="G54" s="1">
        <v>51663</v>
      </c>
      <c r="H54" s="1">
        <v>0</v>
      </c>
    </row>
    <row r="55" spans="1:8" x14ac:dyDescent="0.25">
      <c r="A55" s="1">
        <v>54</v>
      </c>
      <c r="B55" s="1">
        <v>11</v>
      </c>
      <c r="C55" s="1" t="s">
        <v>252</v>
      </c>
      <c r="D55" s="1" t="s">
        <v>251</v>
      </c>
      <c r="E55" s="9">
        <v>45200</v>
      </c>
      <c r="F55" s="1">
        <v>2</v>
      </c>
      <c r="G55" s="1">
        <v>13540</v>
      </c>
      <c r="H55" s="1">
        <v>10</v>
      </c>
    </row>
    <row r="56" spans="1:8" x14ac:dyDescent="0.25">
      <c r="A56" s="1">
        <v>55</v>
      </c>
      <c r="B56" s="1">
        <v>104</v>
      </c>
      <c r="C56" s="1" t="s">
        <v>254</v>
      </c>
      <c r="D56" s="1" t="s">
        <v>250</v>
      </c>
      <c r="E56" s="9">
        <v>45420</v>
      </c>
      <c r="F56" s="1">
        <v>8</v>
      </c>
      <c r="G56" s="1">
        <v>23026</v>
      </c>
      <c r="H56" s="1">
        <v>15</v>
      </c>
    </row>
    <row r="57" spans="1:8" x14ac:dyDescent="0.25">
      <c r="A57" s="1">
        <v>56</v>
      </c>
      <c r="B57" s="1">
        <v>177</v>
      </c>
      <c r="C57" s="1" t="s">
        <v>249</v>
      </c>
      <c r="D57" s="1" t="s">
        <v>251</v>
      </c>
      <c r="E57" s="9">
        <v>45113</v>
      </c>
      <c r="F57" s="1">
        <v>1</v>
      </c>
      <c r="G57" s="1">
        <v>69589</v>
      </c>
      <c r="H57" s="1">
        <v>15</v>
      </c>
    </row>
    <row r="58" spans="1:8" x14ac:dyDescent="0.25">
      <c r="A58" s="1">
        <v>57</v>
      </c>
      <c r="B58" s="1">
        <v>113</v>
      </c>
      <c r="C58" s="1" t="s">
        <v>254</v>
      </c>
      <c r="D58" s="1" t="s">
        <v>250</v>
      </c>
      <c r="E58" s="9">
        <v>44633</v>
      </c>
      <c r="F58" s="1">
        <v>2</v>
      </c>
      <c r="G58" s="1">
        <v>22068</v>
      </c>
      <c r="H58" s="1">
        <v>0</v>
      </c>
    </row>
    <row r="59" spans="1:8" x14ac:dyDescent="0.25">
      <c r="A59" s="1">
        <v>58</v>
      </c>
      <c r="B59" s="1">
        <v>2</v>
      </c>
      <c r="C59" s="1" t="s">
        <v>247</v>
      </c>
      <c r="D59" s="1" t="s">
        <v>248</v>
      </c>
      <c r="E59" s="9">
        <v>45530</v>
      </c>
      <c r="F59" s="1">
        <v>9</v>
      </c>
      <c r="G59" s="1">
        <v>63423</v>
      </c>
      <c r="H59" s="1">
        <v>0</v>
      </c>
    </row>
    <row r="60" spans="1:8" x14ac:dyDescent="0.25">
      <c r="A60" s="1">
        <v>59</v>
      </c>
      <c r="B60" s="1">
        <v>61</v>
      </c>
      <c r="C60" s="1" t="s">
        <v>254</v>
      </c>
      <c r="D60" s="1" t="s">
        <v>250</v>
      </c>
      <c r="E60" s="9">
        <v>45379</v>
      </c>
      <c r="F60" s="1">
        <v>2</v>
      </c>
      <c r="G60" s="1">
        <v>13807</v>
      </c>
      <c r="H60" s="1">
        <v>5</v>
      </c>
    </row>
    <row r="61" spans="1:8" x14ac:dyDescent="0.25">
      <c r="A61" s="1">
        <v>60</v>
      </c>
      <c r="B61" s="1">
        <v>44</v>
      </c>
      <c r="C61" s="1" t="s">
        <v>252</v>
      </c>
      <c r="D61" s="1" t="s">
        <v>250</v>
      </c>
      <c r="E61" s="9">
        <v>45463</v>
      </c>
      <c r="F61" s="1">
        <v>8</v>
      </c>
      <c r="G61" s="1">
        <v>51609</v>
      </c>
      <c r="H61" s="1">
        <v>10</v>
      </c>
    </row>
    <row r="62" spans="1:8" x14ac:dyDescent="0.25">
      <c r="A62" s="1">
        <v>61</v>
      </c>
      <c r="B62" s="1">
        <v>76</v>
      </c>
      <c r="C62" s="1" t="s">
        <v>252</v>
      </c>
      <c r="D62" s="1" t="s">
        <v>253</v>
      </c>
      <c r="E62" s="9">
        <v>45081</v>
      </c>
      <c r="F62" s="1">
        <v>6</v>
      </c>
      <c r="G62" s="1">
        <v>20115</v>
      </c>
      <c r="H62" s="1">
        <v>5</v>
      </c>
    </row>
    <row r="63" spans="1:8" x14ac:dyDescent="0.25">
      <c r="A63" s="1">
        <v>62</v>
      </c>
      <c r="B63" s="1">
        <v>98</v>
      </c>
      <c r="C63" s="1" t="s">
        <v>249</v>
      </c>
      <c r="D63" s="1" t="s">
        <v>250</v>
      </c>
      <c r="E63" s="9">
        <v>45123</v>
      </c>
      <c r="F63" s="1">
        <v>3</v>
      </c>
      <c r="G63" s="1">
        <v>43309</v>
      </c>
      <c r="H63" s="1">
        <v>0</v>
      </c>
    </row>
    <row r="64" spans="1:8" x14ac:dyDescent="0.25">
      <c r="A64" s="1">
        <v>63</v>
      </c>
      <c r="B64" s="1">
        <v>29</v>
      </c>
      <c r="C64" s="1" t="s">
        <v>254</v>
      </c>
      <c r="D64" s="1" t="s">
        <v>250</v>
      </c>
      <c r="E64" s="9">
        <v>45450</v>
      </c>
      <c r="F64" s="1">
        <v>10</v>
      </c>
      <c r="G64" s="1">
        <v>24977</v>
      </c>
      <c r="H64" s="1">
        <v>15</v>
      </c>
    </row>
    <row r="65" spans="1:8" x14ac:dyDescent="0.25">
      <c r="A65" s="1">
        <v>64</v>
      </c>
      <c r="B65" s="1">
        <v>143</v>
      </c>
      <c r="C65" s="1" t="s">
        <v>247</v>
      </c>
      <c r="D65" s="1" t="s">
        <v>253</v>
      </c>
      <c r="E65" s="9">
        <v>44637</v>
      </c>
      <c r="F65" s="1">
        <v>7</v>
      </c>
      <c r="G65" s="1">
        <v>59985</v>
      </c>
      <c r="H65" s="1">
        <v>5</v>
      </c>
    </row>
    <row r="66" spans="1:8" x14ac:dyDescent="0.25">
      <c r="A66" s="1">
        <v>65</v>
      </c>
      <c r="B66" s="1">
        <v>35</v>
      </c>
      <c r="C66" s="1" t="s">
        <v>247</v>
      </c>
      <c r="D66" s="1" t="s">
        <v>251</v>
      </c>
      <c r="E66" s="9">
        <v>45044</v>
      </c>
      <c r="F66" s="1">
        <v>2</v>
      </c>
      <c r="G66" s="1">
        <v>32689</v>
      </c>
      <c r="H66" s="1">
        <v>5</v>
      </c>
    </row>
    <row r="67" spans="1:8" x14ac:dyDescent="0.25">
      <c r="A67" s="1">
        <v>66</v>
      </c>
      <c r="B67" s="1">
        <v>166</v>
      </c>
      <c r="C67" s="1" t="s">
        <v>252</v>
      </c>
      <c r="D67" s="1" t="s">
        <v>251</v>
      </c>
      <c r="E67" s="9">
        <v>45219</v>
      </c>
      <c r="F67" s="1">
        <v>9</v>
      </c>
      <c r="G67" s="1">
        <v>20206</v>
      </c>
      <c r="H67" s="1">
        <v>15</v>
      </c>
    </row>
    <row r="68" spans="1:8" x14ac:dyDescent="0.25">
      <c r="A68" s="1">
        <v>67</v>
      </c>
      <c r="B68" s="1">
        <v>103</v>
      </c>
      <c r="C68" s="1" t="s">
        <v>247</v>
      </c>
      <c r="D68" s="1" t="s">
        <v>250</v>
      </c>
      <c r="E68" s="9">
        <v>44768</v>
      </c>
      <c r="F68" s="1">
        <v>3</v>
      </c>
      <c r="G68" s="1">
        <v>47406</v>
      </c>
      <c r="H68" s="1">
        <v>10</v>
      </c>
    </row>
    <row r="69" spans="1:8" x14ac:dyDescent="0.25">
      <c r="A69" s="1">
        <v>68</v>
      </c>
      <c r="B69" s="1">
        <v>196</v>
      </c>
      <c r="C69" s="1" t="s">
        <v>249</v>
      </c>
      <c r="D69" s="1" t="s">
        <v>248</v>
      </c>
      <c r="E69" s="9">
        <v>45146</v>
      </c>
      <c r="F69" s="1">
        <v>8</v>
      </c>
      <c r="G69" s="1">
        <v>7570</v>
      </c>
      <c r="H69" s="1">
        <v>5</v>
      </c>
    </row>
    <row r="70" spans="1:8" x14ac:dyDescent="0.25">
      <c r="A70" s="1">
        <v>69</v>
      </c>
      <c r="B70" s="1">
        <v>188</v>
      </c>
      <c r="C70" s="1" t="s">
        <v>252</v>
      </c>
      <c r="D70" s="1" t="s">
        <v>250</v>
      </c>
      <c r="E70" s="9">
        <v>45228</v>
      </c>
      <c r="F70" s="1">
        <v>2</v>
      </c>
      <c r="G70" s="1">
        <v>63327</v>
      </c>
      <c r="H70" s="1">
        <v>15</v>
      </c>
    </row>
    <row r="71" spans="1:8" x14ac:dyDescent="0.25">
      <c r="A71" s="1">
        <v>70</v>
      </c>
      <c r="B71" s="1">
        <v>79</v>
      </c>
      <c r="C71" s="1" t="s">
        <v>252</v>
      </c>
      <c r="D71" s="1" t="s">
        <v>248</v>
      </c>
      <c r="E71" s="9">
        <v>44725</v>
      </c>
      <c r="F71" s="1">
        <v>5</v>
      </c>
      <c r="G71" s="1">
        <v>54603</v>
      </c>
      <c r="H71" s="1">
        <v>5</v>
      </c>
    </row>
    <row r="72" spans="1:8" x14ac:dyDescent="0.25">
      <c r="A72" s="1">
        <v>71</v>
      </c>
      <c r="B72" s="1">
        <v>160</v>
      </c>
      <c r="C72" s="1" t="s">
        <v>252</v>
      </c>
      <c r="D72" s="1" t="s">
        <v>253</v>
      </c>
      <c r="E72" s="9">
        <v>45197</v>
      </c>
      <c r="F72" s="1">
        <v>5</v>
      </c>
      <c r="G72" s="1">
        <v>49429</v>
      </c>
      <c r="H72" s="1">
        <v>0</v>
      </c>
    </row>
    <row r="73" spans="1:8" x14ac:dyDescent="0.25">
      <c r="A73" s="1">
        <v>72</v>
      </c>
      <c r="B73" s="1">
        <v>159</v>
      </c>
      <c r="C73" s="1" t="s">
        <v>252</v>
      </c>
      <c r="D73" s="1" t="s">
        <v>255</v>
      </c>
      <c r="E73" s="9">
        <v>45347</v>
      </c>
      <c r="F73" s="1">
        <v>2</v>
      </c>
      <c r="G73" s="1">
        <v>43552</v>
      </c>
      <c r="H73" s="1">
        <v>0</v>
      </c>
    </row>
    <row r="74" spans="1:8" x14ac:dyDescent="0.25">
      <c r="A74" s="1">
        <v>73</v>
      </c>
      <c r="B74" s="1">
        <v>154</v>
      </c>
      <c r="C74" s="1" t="s">
        <v>249</v>
      </c>
      <c r="D74" s="1" t="s">
        <v>250</v>
      </c>
      <c r="E74" s="9">
        <v>45165</v>
      </c>
      <c r="F74" s="1">
        <v>5</v>
      </c>
      <c r="G74" s="1">
        <v>41926</v>
      </c>
      <c r="H74" s="1">
        <v>15</v>
      </c>
    </row>
    <row r="75" spans="1:8" x14ac:dyDescent="0.25">
      <c r="A75" s="1">
        <v>74</v>
      </c>
      <c r="B75" s="1">
        <v>179</v>
      </c>
      <c r="C75" s="1" t="s">
        <v>254</v>
      </c>
      <c r="D75" s="1" t="s">
        <v>250</v>
      </c>
      <c r="E75" s="9">
        <v>45177</v>
      </c>
      <c r="F75" s="1">
        <v>5</v>
      </c>
      <c r="G75" s="1">
        <v>24640</v>
      </c>
      <c r="H75" s="1">
        <v>0</v>
      </c>
    </row>
    <row r="76" spans="1:8" x14ac:dyDescent="0.25">
      <c r="A76" s="1">
        <v>75</v>
      </c>
      <c r="B76" s="1">
        <v>131</v>
      </c>
      <c r="C76" s="1" t="s">
        <v>252</v>
      </c>
      <c r="D76" s="1" t="s">
        <v>253</v>
      </c>
      <c r="E76" s="9">
        <v>45561</v>
      </c>
      <c r="F76" s="1">
        <v>3</v>
      </c>
      <c r="G76" s="1">
        <v>38569</v>
      </c>
      <c r="H76" s="1">
        <v>15</v>
      </c>
    </row>
    <row r="77" spans="1:8" x14ac:dyDescent="0.25">
      <c r="A77" s="1">
        <v>76</v>
      </c>
      <c r="B77" s="1">
        <v>179</v>
      </c>
      <c r="C77" s="1" t="s">
        <v>252</v>
      </c>
      <c r="D77" s="1" t="s">
        <v>255</v>
      </c>
      <c r="E77" s="9">
        <v>44857</v>
      </c>
      <c r="F77" s="1">
        <v>1</v>
      </c>
      <c r="G77" s="1">
        <v>70206</v>
      </c>
      <c r="H77" s="1">
        <v>0</v>
      </c>
    </row>
    <row r="78" spans="1:8" x14ac:dyDescent="0.25">
      <c r="A78" s="1">
        <v>77</v>
      </c>
      <c r="B78" s="1">
        <v>150</v>
      </c>
      <c r="C78" s="1" t="s">
        <v>249</v>
      </c>
      <c r="D78" s="1" t="s">
        <v>248</v>
      </c>
      <c r="E78" s="9">
        <v>45119</v>
      </c>
      <c r="F78" s="1">
        <v>1</v>
      </c>
      <c r="G78" s="1">
        <v>50501</v>
      </c>
      <c r="H78" s="1">
        <v>5</v>
      </c>
    </row>
    <row r="79" spans="1:8" x14ac:dyDescent="0.25">
      <c r="A79" s="1">
        <v>78</v>
      </c>
      <c r="B79" s="1">
        <v>173</v>
      </c>
      <c r="C79" s="1" t="s">
        <v>254</v>
      </c>
      <c r="D79" s="1" t="s">
        <v>255</v>
      </c>
      <c r="E79" s="9">
        <v>45455</v>
      </c>
      <c r="F79" s="1">
        <v>4</v>
      </c>
      <c r="G79" s="1">
        <v>6964</v>
      </c>
      <c r="H79" s="1">
        <v>15</v>
      </c>
    </row>
    <row r="80" spans="1:8" x14ac:dyDescent="0.25">
      <c r="A80" s="1">
        <v>79</v>
      </c>
      <c r="B80" s="1">
        <v>138</v>
      </c>
      <c r="C80" s="1" t="s">
        <v>254</v>
      </c>
      <c r="D80" s="1" t="s">
        <v>250</v>
      </c>
      <c r="E80" s="9">
        <v>44846</v>
      </c>
      <c r="F80" s="1">
        <v>2</v>
      </c>
      <c r="G80" s="1">
        <v>57643</v>
      </c>
      <c r="H80" s="1">
        <v>15</v>
      </c>
    </row>
    <row r="81" spans="1:8" x14ac:dyDescent="0.25">
      <c r="A81" s="1">
        <v>80</v>
      </c>
      <c r="B81" s="1">
        <v>105</v>
      </c>
      <c r="C81" s="1" t="s">
        <v>254</v>
      </c>
      <c r="D81" s="1" t="s">
        <v>253</v>
      </c>
      <c r="E81" s="9">
        <v>45173</v>
      </c>
      <c r="F81" s="1">
        <v>7</v>
      </c>
      <c r="G81" s="1">
        <v>14571</v>
      </c>
      <c r="H81" s="1">
        <v>10</v>
      </c>
    </row>
    <row r="82" spans="1:8" x14ac:dyDescent="0.25">
      <c r="A82" s="1">
        <v>81</v>
      </c>
      <c r="B82" s="1">
        <v>32</v>
      </c>
      <c r="C82" s="1" t="s">
        <v>254</v>
      </c>
      <c r="D82" s="1" t="s">
        <v>248</v>
      </c>
      <c r="E82" s="9">
        <v>45548</v>
      </c>
      <c r="F82" s="1">
        <v>6</v>
      </c>
      <c r="G82" s="1">
        <v>64685</v>
      </c>
      <c r="H82" s="1">
        <v>0</v>
      </c>
    </row>
    <row r="83" spans="1:8" x14ac:dyDescent="0.25">
      <c r="A83" s="1">
        <v>82</v>
      </c>
      <c r="B83" s="1">
        <v>133</v>
      </c>
      <c r="C83" s="1" t="s">
        <v>249</v>
      </c>
      <c r="D83" s="1" t="s">
        <v>250</v>
      </c>
      <c r="E83" s="9">
        <v>45158</v>
      </c>
      <c r="F83" s="1">
        <v>3</v>
      </c>
      <c r="G83" s="1">
        <v>56959</v>
      </c>
      <c r="H83" s="1">
        <v>10</v>
      </c>
    </row>
    <row r="84" spans="1:8" x14ac:dyDescent="0.25">
      <c r="A84" s="1">
        <v>83</v>
      </c>
      <c r="B84" s="1">
        <v>20</v>
      </c>
      <c r="C84" s="1" t="s">
        <v>254</v>
      </c>
      <c r="D84" s="1" t="s">
        <v>253</v>
      </c>
      <c r="E84" s="9">
        <v>44818</v>
      </c>
      <c r="F84" s="1">
        <v>6</v>
      </c>
      <c r="G84" s="1">
        <v>34447</v>
      </c>
      <c r="H84" s="1">
        <v>15</v>
      </c>
    </row>
    <row r="85" spans="1:8" x14ac:dyDescent="0.25">
      <c r="A85" s="1">
        <v>84</v>
      </c>
      <c r="B85" s="1">
        <v>139</v>
      </c>
      <c r="C85" s="1" t="s">
        <v>249</v>
      </c>
      <c r="D85" s="1" t="s">
        <v>248</v>
      </c>
      <c r="E85" s="9">
        <v>44801</v>
      </c>
      <c r="F85" s="1">
        <v>10</v>
      </c>
      <c r="G85" s="1">
        <v>14257</v>
      </c>
      <c r="H85" s="1">
        <v>10</v>
      </c>
    </row>
    <row r="86" spans="1:8" x14ac:dyDescent="0.25">
      <c r="A86" s="1">
        <v>85</v>
      </c>
      <c r="B86" s="1">
        <v>93</v>
      </c>
      <c r="C86" s="1" t="s">
        <v>249</v>
      </c>
      <c r="D86" s="1" t="s">
        <v>248</v>
      </c>
      <c r="E86" s="9">
        <v>45127</v>
      </c>
      <c r="F86" s="1">
        <v>3</v>
      </c>
      <c r="G86" s="1">
        <v>44974</v>
      </c>
      <c r="H86" s="1">
        <v>0</v>
      </c>
    </row>
    <row r="87" spans="1:8" x14ac:dyDescent="0.25">
      <c r="A87" s="1">
        <v>86</v>
      </c>
      <c r="B87" s="1">
        <v>44</v>
      </c>
      <c r="C87" s="1" t="s">
        <v>249</v>
      </c>
      <c r="D87" s="1" t="s">
        <v>248</v>
      </c>
      <c r="E87" s="9">
        <v>45406</v>
      </c>
      <c r="F87" s="1">
        <v>3</v>
      </c>
      <c r="G87" s="1">
        <v>13541</v>
      </c>
      <c r="H87" s="1">
        <v>15</v>
      </c>
    </row>
    <row r="88" spans="1:8" x14ac:dyDescent="0.25">
      <c r="A88" s="1">
        <v>87</v>
      </c>
      <c r="B88" s="1">
        <v>104</v>
      </c>
      <c r="C88" s="1" t="s">
        <v>254</v>
      </c>
      <c r="D88" s="1" t="s">
        <v>253</v>
      </c>
      <c r="E88" s="9">
        <v>45058</v>
      </c>
      <c r="F88" s="1">
        <v>6</v>
      </c>
      <c r="G88" s="1">
        <v>50454</v>
      </c>
      <c r="H88" s="1">
        <v>10</v>
      </c>
    </row>
    <row r="89" spans="1:8" x14ac:dyDescent="0.25">
      <c r="A89" s="1">
        <v>88</v>
      </c>
      <c r="B89" s="1">
        <v>128</v>
      </c>
      <c r="C89" s="1" t="s">
        <v>252</v>
      </c>
      <c r="D89" s="1" t="s">
        <v>255</v>
      </c>
      <c r="E89" s="9">
        <v>45072</v>
      </c>
      <c r="F89" s="1">
        <v>9</v>
      </c>
      <c r="G89" s="1">
        <v>55395</v>
      </c>
      <c r="H89" s="1">
        <v>5</v>
      </c>
    </row>
    <row r="90" spans="1:8" x14ac:dyDescent="0.25">
      <c r="A90" s="1">
        <v>89</v>
      </c>
      <c r="B90" s="1">
        <v>158</v>
      </c>
      <c r="C90" s="1" t="s">
        <v>254</v>
      </c>
      <c r="D90" s="1" t="s">
        <v>251</v>
      </c>
      <c r="E90" s="9">
        <v>45439</v>
      </c>
      <c r="F90" s="1">
        <v>7</v>
      </c>
      <c r="G90" s="1">
        <v>18002</v>
      </c>
      <c r="H90" s="1">
        <v>0</v>
      </c>
    </row>
    <row r="91" spans="1:8" x14ac:dyDescent="0.25">
      <c r="A91" s="1">
        <v>90</v>
      </c>
      <c r="B91" s="1">
        <v>164</v>
      </c>
      <c r="C91" s="1" t="s">
        <v>247</v>
      </c>
      <c r="D91" s="1" t="s">
        <v>250</v>
      </c>
      <c r="E91" s="9">
        <v>44871</v>
      </c>
      <c r="F91" s="1">
        <v>8</v>
      </c>
      <c r="G91" s="1">
        <v>5116</v>
      </c>
      <c r="H91" s="1">
        <v>10</v>
      </c>
    </row>
    <row r="92" spans="1:8" x14ac:dyDescent="0.25">
      <c r="A92" s="1">
        <v>91</v>
      </c>
      <c r="B92" s="1">
        <v>185</v>
      </c>
      <c r="C92" s="1" t="s">
        <v>254</v>
      </c>
      <c r="D92" s="1" t="s">
        <v>248</v>
      </c>
      <c r="E92" s="9">
        <v>45024</v>
      </c>
      <c r="F92" s="1">
        <v>3</v>
      </c>
      <c r="G92" s="1">
        <v>74970</v>
      </c>
      <c r="H92" s="1">
        <v>5</v>
      </c>
    </row>
    <row r="93" spans="1:8" x14ac:dyDescent="0.25">
      <c r="A93" s="1">
        <v>92</v>
      </c>
      <c r="B93" s="1">
        <v>83</v>
      </c>
      <c r="C93" s="1" t="s">
        <v>247</v>
      </c>
      <c r="D93" s="1" t="s">
        <v>248</v>
      </c>
      <c r="E93" s="9">
        <v>44885</v>
      </c>
      <c r="F93" s="1">
        <v>1</v>
      </c>
      <c r="G93" s="1">
        <v>9964</v>
      </c>
      <c r="H93" s="1">
        <v>0</v>
      </c>
    </row>
    <row r="94" spans="1:8" x14ac:dyDescent="0.25">
      <c r="A94" s="1">
        <v>93</v>
      </c>
      <c r="B94" s="1">
        <v>127</v>
      </c>
      <c r="C94" s="1" t="s">
        <v>247</v>
      </c>
      <c r="D94" s="1" t="s">
        <v>250</v>
      </c>
      <c r="E94" s="9">
        <v>44652</v>
      </c>
      <c r="F94" s="1">
        <v>5</v>
      </c>
      <c r="G94" s="1">
        <v>60108</v>
      </c>
      <c r="H94" s="1">
        <v>5</v>
      </c>
    </row>
    <row r="95" spans="1:8" x14ac:dyDescent="0.25">
      <c r="A95" s="1">
        <v>94</v>
      </c>
      <c r="B95" s="1">
        <v>95</v>
      </c>
      <c r="C95" s="1" t="s">
        <v>254</v>
      </c>
      <c r="D95" s="1" t="s">
        <v>255</v>
      </c>
      <c r="E95" s="9">
        <v>44915</v>
      </c>
      <c r="F95" s="1">
        <v>4</v>
      </c>
      <c r="G95" s="1">
        <v>5863</v>
      </c>
      <c r="H95" s="1">
        <v>0</v>
      </c>
    </row>
    <row r="96" spans="1:8" x14ac:dyDescent="0.25">
      <c r="A96" s="1">
        <v>95</v>
      </c>
      <c r="B96" s="1">
        <v>61</v>
      </c>
      <c r="C96" s="1" t="s">
        <v>247</v>
      </c>
      <c r="D96" s="1" t="s">
        <v>253</v>
      </c>
      <c r="E96" s="9">
        <v>45248</v>
      </c>
      <c r="F96" s="1">
        <v>6</v>
      </c>
      <c r="G96" s="1">
        <v>51451</v>
      </c>
      <c r="H96" s="1">
        <v>15</v>
      </c>
    </row>
    <row r="97" spans="1:8" x14ac:dyDescent="0.25">
      <c r="A97" s="1">
        <v>96</v>
      </c>
      <c r="B97" s="1">
        <v>98</v>
      </c>
      <c r="C97" s="1" t="s">
        <v>247</v>
      </c>
      <c r="D97" s="1" t="s">
        <v>248</v>
      </c>
      <c r="E97" s="9">
        <v>45310</v>
      </c>
      <c r="F97" s="1">
        <v>6</v>
      </c>
      <c r="G97" s="1">
        <v>23282</v>
      </c>
      <c r="H97" s="1">
        <v>0</v>
      </c>
    </row>
    <row r="98" spans="1:8" x14ac:dyDescent="0.25">
      <c r="A98" s="1">
        <v>97</v>
      </c>
      <c r="B98" s="1">
        <v>97</v>
      </c>
      <c r="C98" s="1" t="s">
        <v>247</v>
      </c>
      <c r="D98" s="1" t="s">
        <v>251</v>
      </c>
      <c r="E98" s="9">
        <v>45293</v>
      </c>
      <c r="F98" s="1">
        <v>9</v>
      </c>
      <c r="G98" s="1">
        <v>6744</v>
      </c>
      <c r="H98" s="1">
        <v>10</v>
      </c>
    </row>
    <row r="99" spans="1:8" x14ac:dyDescent="0.25">
      <c r="A99" s="1">
        <v>98</v>
      </c>
      <c r="B99" s="1">
        <v>20</v>
      </c>
      <c r="C99" s="1" t="s">
        <v>252</v>
      </c>
      <c r="D99" s="1" t="s">
        <v>251</v>
      </c>
      <c r="E99" s="9">
        <v>45412</v>
      </c>
      <c r="F99" s="1">
        <v>8</v>
      </c>
      <c r="G99" s="1">
        <v>71515</v>
      </c>
      <c r="H99" s="1">
        <v>5</v>
      </c>
    </row>
    <row r="100" spans="1:8" x14ac:dyDescent="0.25">
      <c r="A100" s="1">
        <v>99</v>
      </c>
      <c r="B100" s="1">
        <v>186</v>
      </c>
      <c r="C100" s="1" t="s">
        <v>247</v>
      </c>
      <c r="D100" s="1" t="s">
        <v>250</v>
      </c>
      <c r="E100" s="9">
        <v>44854</v>
      </c>
      <c r="F100" s="1">
        <v>6</v>
      </c>
      <c r="G100" s="1">
        <v>6516</v>
      </c>
      <c r="H100" s="1">
        <v>15</v>
      </c>
    </row>
    <row r="101" spans="1:8" x14ac:dyDescent="0.25">
      <c r="A101" s="1">
        <v>100</v>
      </c>
      <c r="B101" s="1">
        <v>173</v>
      </c>
      <c r="C101" s="1" t="s">
        <v>247</v>
      </c>
      <c r="D101" s="1" t="s">
        <v>248</v>
      </c>
      <c r="E101" s="9">
        <v>44581</v>
      </c>
      <c r="F101" s="1">
        <v>10</v>
      </c>
      <c r="G101" s="1">
        <v>50927</v>
      </c>
      <c r="H101" s="1">
        <v>0</v>
      </c>
    </row>
    <row r="102" spans="1:8" x14ac:dyDescent="0.25">
      <c r="A102" s="1">
        <v>101</v>
      </c>
      <c r="B102" s="1">
        <v>16</v>
      </c>
      <c r="C102" s="1" t="s">
        <v>247</v>
      </c>
      <c r="D102" s="1" t="s">
        <v>251</v>
      </c>
      <c r="E102" s="9">
        <v>44570</v>
      </c>
      <c r="F102" s="1">
        <v>9</v>
      </c>
      <c r="G102" s="1">
        <v>7462</v>
      </c>
      <c r="H102" s="1">
        <v>15</v>
      </c>
    </row>
    <row r="103" spans="1:8" x14ac:dyDescent="0.25">
      <c r="A103" s="1">
        <v>102</v>
      </c>
      <c r="B103" s="1">
        <v>5</v>
      </c>
      <c r="C103" s="1" t="s">
        <v>252</v>
      </c>
      <c r="D103" s="1" t="s">
        <v>255</v>
      </c>
      <c r="E103" s="9">
        <v>45528</v>
      </c>
      <c r="F103" s="1">
        <v>2</v>
      </c>
      <c r="G103" s="1">
        <v>28240</v>
      </c>
      <c r="H103" s="1">
        <v>0</v>
      </c>
    </row>
    <row r="104" spans="1:8" x14ac:dyDescent="0.25">
      <c r="A104" s="1">
        <v>103</v>
      </c>
      <c r="B104" s="1">
        <v>15</v>
      </c>
      <c r="C104" s="1" t="s">
        <v>252</v>
      </c>
      <c r="D104" s="1" t="s">
        <v>255</v>
      </c>
      <c r="E104" s="9">
        <v>45079</v>
      </c>
      <c r="F104" s="1">
        <v>10</v>
      </c>
      <c r="G104" s="1">
        <v>19623</v>
      </c>
      <c r="H104" s="1">
        <v>15</v>
      </c>
    </row>
    <row r="105" spans="1:8" x14ac:dyDescent="0.25">
      <c r="A105" s="1">
        <v>104</v>
      </c>
      <c r="B105" s="1">
        <v>132</v>
      </c>
      <c r="C105" s="1" t="s">
        <v>254</v>
      </c>
      <c r="D105" s="1" t="s">
        <v>250</v>
      </c>
      <c r="E105" s="9">
        <v>44990</v>
      </c>
      <c r="F105" s="1">
        <v>8</v>
      </c>
      <c r="G105" s="1">
        <v>30316</v>
      </c>
      <c r="H105" s="1">
        <v>5</v>
      </c>
    </row>
    <row r="106" spans="1:8" x14ac:dyDescent="0.25">
      <c r="A106" s="1">
        <v>105</v>
      </c>
      <c r="B106" s="1">
        <v>146</v>
      </c>
      <c r="C106" s="1" t="s">
        <v>252</v>
      </c>
      <c r="D106" s="1" t="s">
        <v>255</v>
      </c>
      <c r="E106" s="9">
        <v>45132</v>
      </c>
      <c r="F106" s="1">
        <v>1</v>
      </c>
      <c r="G106" s="1">
        <v>8174</v>
      </c>
      <c r="H106" s="1">
        <v>0</v>
      </c>
    </row>
    <row r="107" spans="1:8" x14ac:dyDescent="0.25">
      <c r="A107" s="1">
        <v>106</v>
      </c>
      <c r="B107" s="1">
        <v>5</v>
      </c>
      <c r="C107" s="1" t="s">
        <v>247</v>
      </c>
      <c r="D107" s="1" t="s">
        <v>251</v>
      </c>
      <c r="E107" s="9">
        <v>45251</v>
      </c>
      <c r="F107" s="1">
        <v>3</v>
      </c>
      <c r="G107" s="1">
        <v>36873</v>
      </c>
      <c r="H107" s="1">
        <v>15</v>
      </c>
    </row>
    <row r="108" spans="1:8" x14ac:dyDescent="0.25">
      <c r="A108" s="1">
        <v>107</v>
      </c>
      <c r="B108" s="1">
        <v>196</v>
      </c>
      <c r="C108" s="1" t="s">
        <v>254</v>
      </c>
      <c r="D108" s="1" t="s">
        <v>255</v>
      </c>
      <c r="E108" s="9">
        <v>44764</v>
      </c>
      <c r="F108" s="1">
        <v>5</v>
      </c>
      <c r="G108" s="1">
        <v>39505</v>
      </c>
      <c r="H108" s="1">
        <v>15</v>
      </c>
    </row>
    <row r="109" spans="1:8" x14ac:dyDescent="0.25">
      <c r="A109" s="1">
        <v>108</v>
      </c>
      <c r="B109" s="1">
        <v>22</v>
      </c>
      <c r="C109" s="1" t="s">
        <v>249</v>
      </c>
      <c r="D109" s="1" t="s">
        <v>250</v>
      </c>
      <c r="E109" s="9">
        <v>45388</v>
      </c>
      <c r="F109" s="1">
        <v>3</v>
      </c>
      <c r="G109" s="1">
        <v>63591</v>
      </c>
      <c r="H109" s="1">
        <v>15</v>
      </c>
    </row>
    <row r="110" spans="1:8" x14ac:dyDescent="0.25">
      <c r="A110" s="1">
        <v>109</v>
      </c>
      <c r="B110" s="1">
        <v>18</v>
      </c>
      <c r="C110" s="1" t="s">
        <v>249</v>
      </c>
      <c r="D110" s="1" t="s">
        <v>251</v>
      </c>
      <c r="E110" s="9">
        <v>45373</v>
      </c>
      <c r="F110" s="1">
        <v>2</v>
      </c>
      <c r="G110" s="1">
        <v>40599</v>
      </c>
      <c r="H110" s="1">
        <v>0</v>
      </c>
    </row>
    <row r="111" spans="1:8" x14ac:dyDescent="0.25">
      <c r="A111" s="1">
        <v>110</v>
      </c>
      <c r="B111" s="1">
        <v>74</v>
      </c>
      <c r="C111" s="1" t="s">
        <v>249</v>
      </c>
      <c r="D111" s="1" t="s">
        <v>248</v>
      </c>
      <c r="E111" s="9">
        <v>44784</v>
      </c>
      <c r="F111" s="1">
        <v>4</v>
      </c>
      <c r="G111" s="1">
        <v>60101</v>
      </c>
      <c r="H111" s="1">
        <v>0</v>
      </c>
    </row>
    <row r="112" spans="1:8" x14ac:dyDescent="0.25">
      <c r="A112" s="1">
        <v>111</v>
      </c>
      <c r="B112" s="1">
        <v>44</v>
      </c>
      <c r="C112" s="1" t="s">
        <v>247</v>
      </c>
      <c r="D112" s="1" t="s">
        <v>255</v>
      </c>
      <c r="E112" s="9">
        <v>44784</v>
      </c>
      <c r="F112" s="1">
        <v>9</v>
      </c>
      <c r="G112" s="1">
        <v>25885</v>
      </c>
      <c r="H112" s="1">
        <v>15</v>
      </c>
    </row>
    <row r="113" spans="1:8" x14ac:dyDescent="0.25">
      <c r="A113" s="1">
        <v>112</v>
      </c>
      <c r="B113" s="1">
        <v>130</v>
      </c>
      <c r="C113" s="1" t="s">
        <v>254</v>
      </c>
      <c r="D113" s="1" t="s">
        <v>248</v>
      </c>
      <c r="E113" s="9">
        <v>45345</v>
      </c>
      <c r="F113" s="1">
        <v>3</v>
      </c>
      <c r="G113" s="1">
        <v>78234</v>
      </c>
      <c r="H113" s="1">
        <v>15</v>
      </c>
    </row>
    <row r="114" spans="1:8" x14ac:dyDescent="0.25">
      <c r="A114" s="1">
        <v>113</v>
      </c>
      <c r="B114" s="1">
        <v>190</v>
      </c>
      <c r="C114" s="1" t="s">
        <v>247</v>
      </c>
      <c r="D114" s="1" t="s">
        <v>255</v>
      </c>
      <c r="E114" s="9">
        <v>45409</v>
      </c>
      <c r="F114" s="1">
        <v>4</v>
      </c>
      <c r="G114" s="1">
        <v>46465</v>
      </c>
      <c r="H114" s="1">
        <v>0</v>
      </c>
    </row>
    <row r="115" spans="1:8" x14ac:dyDescent="0.25">
      <c r="A115" s="1">
        <v>114</v>
      </c>
      <c r="B115" s="1">
        <v>31</v>
      </c>
      <c r="C115" s="1" t="s">
        <v>247</v>
      </c>
      <c r="D115" s="1" t="s">
        <v>251</v>
      </c>
      <c r="E115" s="9">
        <v>45237</v>
      </c>
      <c r="F115" s="1">
        <v>8</v>
      </c>
      <c r="G115" s="1">
        <v>61660</v>
      </c>
      <c r="H115" s="1">
        <v>5</v>
      </c>
    </row>
    <row r="116" spans="1:8" x14ac:dyDescent="0.25">
      <c r="A116" s="1">
        <v>115</v>
      </c>
      <c r="B116" s="1">
        <v>8</v>
      </c>
      <c r="C116" s="1" t="s">
        <v>252</v>
      </c>
      <c r="D116" s="1" t="s">
        <v>248</v>
      </c>
      <c r="E116" s="9">
        <v>44699</v>
      </c>
      <c r="F116" s="1">
        <v>4</v>
      </c>
      <c r="G116" s="1">
        <v>61763</v>
      </c>
      <c r="H116" s="1">
        <v>0</v>
      </c>
    </row>
    <row r="117" spans="1:8" x14ac:dyDescent="0.25">
      <c r="A117" s="1">
        <v>116</v>
      </c>
      <c r="B117" s="1">
        <v>158</v>
      </c>
      <c r="C117" s="1" t="s">
        <v>254</v>
      </c>
      <c r="D117" s="1" t="s">
        <v>253</v>
      </c>
      <c r="E117" s="9">
        <v>44819</v>
      </c>
      <c r="F117" s="1">
        <v>5</v>
      </c>
      <c r="G117" s="1">
        <v>33764</v>
      </c>
      <c r="H117" s="1">
        <v>5</v>
      </c>
    </row>
    <row r="118" spans="1:8" x14ac:dyDescent="0.25">
      <c r="A118" s="1">
        <v>117</v>
      </c>
      <c r="B118" s="1">
        <v>163</v>
      </c>
      <c r="C118" s="1" t="s">
        <v>247</v>
      </c>
      <c r="D118" s="1" t="s">
        <v>253</v>
      </c>
      <c r="E118" s="9">
        <v>45519</v>
      </c>
      <c r="F118" s="1">
        <v>2</v>
      </c>
      <c r="G118" s="1">
        <v>13005</v>
      </c>
      <c r="H118" s="1">
        <v>5</v>
      </c>
    </row>
    <row r="119" spans="1:8" x14ac:dyDescent="0.25">
      <c r="A119" s="1">
        <v>118</v>
      </c>
      <c r="B119" s="1">
        <v>185</v>
      </c>
      <c r="C119" s="1" t="s">
        <v>249</v>
      </c>
      <c r="D119" s="1" t="s">
        <v>255</v>
      </c>
      <c r="E119" s="9">
        <v>44928</v>
      </c>
      <c r="F119" s="1">
        <v>10</v>
      </c>
      <c r="G119" s="1">
        <v>41948</v>
      </c>
      <c r="H119" s="1">
        <v>10</v>
      </c>
    </row>
    <row r="120" spans="1:8" x14ac:dyDescent="0.25">
      <c r="A120" s="1">
        <v>119</v>
      </c>
      <c r="B120" s="1">
        <v>103</v>
      </c>
      <c r="C120" s="1" t="s">
        <v>249</v>
      </c>
      <c r="D120" s="1" t="s">
        <v>253</v>
      </c>
      <c r="E120" s="9">
        <v>45236</v>
      </c>
      <c r="F120" s="1">
        <v>10</v>
      </c>
      <c r="G120" s="1">
        <v>48514</v>
      </c>
      <c r="H120" s="1">
        <v>5</v>
      </c>
    </row>
    <row r="121" spans="1:8" x14ac:dyDescent="0.25">
      <c r="A121" s="1">
        <v>120</v>
      </c>
      <c r="B121" s="1">
        <v>54</v>
      </c>
      <c r="C121" s="1" t="s">
        <v>249</v>
      </c>
      <c r="D121" s="1" t="s">
        <v>250</v>
      </c>
      <c r="E121" s="9">
        <v>44704</v>
      </c>
      <c r="F121" s="1">
        <v>10</v>
      </c>
      <c r="G121" s="1">
        <v>7204</v>
      </c>
      <c r="H121" s="1">
        <v>5</v>
      </c>
    </row>
    <row r="122" spans="1:8" x14ac:dyDescent="0.25">
      <c r="A122" s="1">
        <v>121</v>
      </c>
      <c r="B122" s="1">
        <v>117</v>
      </c>
      <c r="C122" s="1" t="s">
        <v>254</v>
      </c>
      <c r="D122" s="1" t="s">
        <v>248</v>
      </c>
      <c r="E122" s="9">
        <v>44639</v>
      </c>
      <c r="F122" s="1">
        <v>1</v>
      </c>
      <c r="G122" s="1">
        <v>34863</v>
      </c>
      <c r="H122" s="1">
        <v>15</v>
      </c>
    </row>
    <row r="123" spans="1:8" x14ac:dyDescent="0.25">
      <c r="A123" s="1">
        <v>122</v>
      </c>
      <c r="B123" s="1">
        <v>108</v>
      </c>
      <c r="C123" s="1" t="s">
        <v>249</v>
      </c>
      <c r="D123" s="1" t="s">
        <v>248</v>
      </c>
      <c r="E123" s="9">
        <v>45264</v>
      </c>
      <c r="F123" s="1">
        <v>2</v>
      </c>
      <c r="G123" s="1">
        <v>74696</v>
      </c>
      <c r="H123" s="1">
        <v>5</v>
      </c>
    </row>
    <row r="124" spans="1:8" x14ac:dyDescent="0.25">
      <c r="A124" s="1">
        <v>123</v>
      </c>
      <c r="B124" s="1">
        <v>90</v>
      </c>
      <c r="C124" s="1" t="s">
        <v>252</v>
      </c>
      <c r="D124" s="1" t="s">
        <v>250</v>
      </c>
      <c r="E124" s="9">
        <v>44964</v>
      </c>
      <c r="F124" s="1">
        <v>5</v>
      </c>
      <c r="G124" s="1">
        <v>33694</v>
      </c>
      <c r="H124" s="1">
        <v>15</v>
      </c>
    </row>
    <row r="125" spans="1:8" x14ac:dyDescent="0.25">
      <c r="A125" s="1">
        <v>124</v>
      </c>
      <c r="B125" s="1">
        <v>199</v>
      </c>
      <c r="C125" s="1" t="s">
        <v>252</v>
      </c>
      <c r="D125" s="1" t="s">
        <v>255</v>
      </c>
      <c r="E125" s="9">
        <v>45252</v>
      </c>
      <c r="F125" s="1">
        <v>9</v>
      </c>
      <c r="G125" s="1">
        <v>11284</v>
      </c>
      <c r="H125" s="1">
        <v>10</v>
      </c>
    </row>
    <row r="126" spans="1:8" x14ac:dyDescent="0.25">
      <c r="A126" s="1">
        <v>125</v>
      </c>
      <c r="B126" s="1">
        <v>25</v>
      </c>
      <c r="C126" s="1" t="s">
        <v>254</v>
      </c>
      <c r="D126" s="1" t="s">
        <v>255</v>
      </c>
      <c r="E126" s="9">
        <v>45306</v>
      </c>
      <c r="F126" s="1">
        <v>10</v>
      </c>
      <c r="G126" s="1">
        <v>79758</v>
      </c>
      <c r="H126" s="1">
        <v>0</v>
      </c>
    </row>
    <row r="127" spans="1:8" x14ac:dyDescent="0.25">
      <c r="A127" s="1">
        <v>126</v>
      </c>
      <c r="B127" s="1">
        <v>60</v>
      </c>
      <c r="C127" s="1" t="s">
        <v>249</v>
      </c>
      <c r="D127" s="1" t="s">
        <v>250</v>
      </c>
      <c r="E127" s="9">
        <v>45463</v>
      </c>
      <c r="F127" s="1">
        <v>8</v>
      </c>
      <c r="G127" s="1">
        <v>60530</v>
      </c>
      <c r="H127" s="1">
        <v>5</v>
      </c>
    </row>
    <row r="128" spans="1:8" x14ac:dyDescent="0.25">
      <c r="A128" s="1">
        <v>127</v>
      </c>
      <c r="B128" s="1">
        <v>200</v>
      </c>
      <c r="C128" s="1" t="s">
        <v>252</v>
      </c>
      <c r="D128" s="1" t="s">
        <v>251</v>
      </c>
      <c r="E128" s="9">
        <v>44686</v>
      </c>
      <c r="F128" s="1">
        <v>3</v>
      </c>
      <c r="G128" s="1">
        <v>54424</v>
      </c>
      <c r="H128" s="1">
        <v>10</v>
      </c>
    </row>
    <row r="129" spans="1:8" x14ac:dyDescent="0.25">
      <c r="A129" s="1">
        <v>128</v>
      </c>
      <c r="B129" s="1">
        <v>69</v>
      </c>
      <c r="C129" s="1" t="s">
        <v>247</v>
      </c>
      <c r="D129" s="1" t="s">
        <v>253</v>
      </c>
      <c r="E129" s="9">
        <v>45291</v>
      </c>
      <c r="F129" s="1">
        <v>9</v>
      </c>
      <c r="G129" s="1">
        <v>62420</v>
      </c>
      <c r="H129" s="1">
        <v>10</v>
      </c>
    </row>
    <row r="130" spans="1:8" x14ac:dyDescent="0.25">
      <c r="A130" s="1">
        <v>129</v>
      </c>
      <c r="B130" s="1">
        <v>21</v>
      </c>
      <c r="C130" s="1" t="s">
        <v>252</v>
      </c>
      <c r="D130" s="1" t="s">
        <v>250</v>
      </c>
      <c r="E130" s="9">
        <v>45183</v>
      </c>
      <c r="F130" s="1">
        <v>8</v>
      </c>
      <c r="G130" s="1">
        <v>22124</v>
      </c>
      <c r="H130" s="1">
        <v>5</v>
      </c>
    </row>
    <row r="131" spans="1:8" x14ac:dyDescent="0.25">
      <c r="A131" s="1">
        <v>130</v>
      </c>
      <c r="B131" s="1">
        <v>102</v>
      </c>
      <c r="C131" s="1" t="s">
        <v>252</v>
      </c>
      <c r="D131" s="1" t="s">
        <v>248</v>
      </c>
      <c r="E131" s="9">
        <v>44656</v>
      </c>
      <c r="F131" s="1">
        <v>6</v>
      </c>
      <c r="G131" s="1">
        <v>15775</v>
      </c>
      <c r="H131" s="1">
        <v>10</v>
      </c>
    </row>
    <row r="132" spans="1:8" x14ac:dyDescent="0.25">
      <c r="A132" s="1">
        <v>131</v>
      </c>
      <c r="B132" s="1">
        <v>124</v>
      </c>
      <c r="C132" s="1" t="s">
        <v>252</v>
      </c>
      <c r="D132" s="1" t="s">
        <v>253</v>
      </c>
      <c r="E132" s="9">
        <v>45390</v>
      </c>
      <c r="F132" s="1">
        <v>6</v>
      </c>
      <c r="G132" s="1">
        <v>48380</v>
      </c>
      <c r="H132" s="1">
        <v>5</v>
      </c>
    </row>
    <row r="133" spans="1:8" x14ac:dyDescent="0.25">
      <c r="A133" s="1">
        <v>132</v>
      </c>
      <c r="B133" s="1">
        <v>129</v>
      </c>
      <c r="C133" s="1" t="s">
        <v>249</v>
      </c>
      <c r="D133" s="1" t="s">
        <v>248</v>
      </c>
      <c r="E133" s="9">
        <v>44748</v>
      </c>
      <c r="F133" s="1">
        <v>4</v>
      </c>
      <c r="G133" s="1">
        <v>21680</v>
      </c>
      <c r="H133" s="1">
        <v>15</v>
      </c>
    </row>
    <row r="134" spans="1:8" x14ac:dyDescent="0.25">
      <c r="A134" s="1">
        <v>133</v>
      </c>
      <c r="B134" s="1">
        <v>115</v>
      </c>
      <c r="C134" s="1" t="s">
        <v>254</v>
      </c>
      <c r="D134" s="1" t="s">
        <v>255</v>
      </c>
      <c r="E134" s="9">
        <v>45414</v>
      </c>
      <c r="F134" s="1">
        <v>6</v>
      </c>
      <c r="G134" s="1">
        <v>16824</v>
      </c>
      <c r="H134" s="1">
        <v>10</v>
      </c>
    </row>
    <row r="135" spans="1:8" x14ac:dyDescent="0.25">
      <c r="A135" s="1">
        <v>134</v>
      </c>
      <c r="B135" s="1">
        <v>155</v>
      </c>
      <c r="C135" s="1" t="s">
        <v>247</v>
      </c>
      <c r="D135" s="1" t="s">
        <v>248</v>
      </c>
      <c r="E135" s="9">
        <v>45394</v>
      </c>
      <c r="F135" s="1">
        <v>6</v>
      </c>
      <c r="G135" s="1">
        <v>72136</v>
      </c>
      <c r="H135" s="1">
        <v>10</v>
      </c>
    </row>
    <row r="136" spans="1:8" x14ac:dyDescent="0.25">
      <c r="A136" s="1">
        <v>135</v>
      </c>
      <c r="B136" s="1">
        <v>78</v>
      </c>
      <c r="C136" s="1" t="s">
        <v>249</v>
      </c>
      <c r="D136" s="1" t="s">
        <v>255</v>
      </c>
      <c r="E136" s="9">
        <v>44596</v>
      </c>
      <c r="F136" s="1">
        <v>7</v>
      </c>
      <c r="G136" s="1">
        <v>32329</v>
      </c>
      <c r="H136" s="1">
        <v>15</v>
      </c>
    </row>
    <row r="137" spans="1:8" x14ac:dyDescent="0.25">
      <c r="A137" s="1">
        <v>136</v>
      </c>
      <c r="B137" s="1">
        <v>197</v>
      </c>
      <c r="C137" s="1" t="s">
        <v>249</v>
      </c>
      <c r="D137" s="1" t="s">
        <v>251</v>
      </c>
      <c r="E137" s="9">
        <v>44800</v>
      </c>
      <c r="F137" s="1">
        <v>2</v>
      </c>
      <c r="G137" s="1">
        <v>29263</v>
      </c>
      <c r="H137" s="1">
        <v>5</v>
      </c>
    </row>
    <row r="138" spans="1:8" x14ac:dyDescent="0.25">
      <c r="A138" s="1">
        <v>137</v>
      </c>
      <c r="B138" s="1">
        <v>6</v>
      </c>
      <c r="C138" s="1" t="s">
        <v>247</v>
      </c>
      <c r="D138" s="1" t="s">
        <v>250</v>
      </c>
      <c r="E138" s="9">
        <v>44902</v>
      </c>
      <c r="F138" s="1">
        <v>6</v>
      </c>
      <c r="G138" s="1">
        <v>46501</v>
      </c>
      <c r="H138" s="1">
        <v>10</v>
      </c>
    </row>
    <row r="139" spans="1:8" x14ac:dyDescent="0.25">
      <c r="A139" s="1">
        <v>138</v>
      </c>
      <c r="B139" s="1">
        <v>145</v>
      </c>
      <c r="C139" s="1" t="s">
        <v>252</v>
      </c>
      <c r="D139" s="1" t="s">
        <v>251</v>
      </c>
      <c r="E139" s="9">
        <v>44779</v>
      </c>
      <c r="F139" s="1">
        <v>6</v>
      </c>
      <c r="G139" s="1">
        <v>57437</v>
      </c>
      <c r="H139" s="1">
        <v>0</v>
      </c>
    </row>
    <row r="140" spans="1:8" x14ac:dyDescent="0.25">
      <c r="A140" s="1">
        <v>139</v>
      </c>
      <c r="B140" s="1">
        <v>9</v>
      </c>
      <c r="C140" s="1" t="s">
        <v>247</v>
      </c>
      <c r="D140" s="1" t="s">
        <v>251</v>
      </c>
      <c r="E140" s="9">
        <v>44852</v>
      </c>
      <c r="F140" s="1">
        <v>7</v>
      </c>
      <c r="G140" s="1">
        <v>47245</v>
      </c>
      <c r="H140" s="1">
        <v>0</v>
      </c>
    </row>
    <row r="141" spans="1:8" x14ac:dyDescent="0.25">
      <c r="A141" s="1">
        <v>140</v>
      </c>
      <c r="B141" s="1">
        <v>30</v>
      </c>
      <c r="C141" s="1" t="s">
        <v>249</v>
      </c>
      <c r="D141" s="1" t="s">
        <v>248</v>
      </c>
      <c r="E141" s="9">
        <v>45470</v>
      </c>
      <c r="F141" s="1">
        <v>5</v>
      </c>
      <c r="G141" s="1">
        <v>26039</v>
      </c>
      <c r="H141" s="1">
        <v>15</v>
      </c>
    </row>
    <row r="142" spans="1:8" x14ac:dyDescent="0.25">
      <c r="A142" s="1">
        <v>141</v>
      </c>
      <c r="B142" s="1">
        <v>100</v>
      </c>
      <c r="C142" s="1" t="s">
        <v>252</v>
      </c>
      <c r="D142" s="1" t="s">
        <v>250</v>
      </c>
      <c r="E142" s="9">
        <v>45478</v>
      </c>
      <c r="F142" s="1">
        <v>3</v>
      </c>
      <c r="G142" s="1">
        <v>51245</v>
      </c>
      <c r="H142" s="1">
        <v>10</v>
      </c>
    </row>
    <row r="143" spans="1:8" x14ac:dyDescent="0.25">
      <c r="A143" s="1">
        <v>142</v>
      </c>
      <c r="B143" s="1">
        <v>31</v>
      </c>
      <c r="C143" s="1" t="s">
        <v>247</v>
      </c>
      <c r="D143" s="1" t="s">
        <v>250</v>
      </c>
      <c r="E143" s="9">
        <v>44684</v>
      </c>
      <c r="F143" s="1">
        <v>2</v>
      </c>
      <c r="G143" s="1">
        <v>45259</v>
      </c>
      <c r="H143" s="1">
        <v>10</v>
      </c>
    </row>
    <row r="144" spans="1:8" x14ac:dyDescent="0.25">
      <c r="A144" s="1">
        <v>143</v>
      </c>
      <c r="B144" s="1">
        <v>82</v>
      </c>
      <c r="C144" s="1" t="s">
        <v>252</v>
      </c>
      <c r="D144" s="1" t="s">
        <v>255</v>
      </c>
      <c r="E144" s="9">
        <v>45181</v>
      </c>
      <c r="F144" s="1">
        <v>4</v>
      </c>
      <c r="G144" s="1">
        <v>21226</v>
      </c>
      <c r="H144" s="1">
        <v>15</v>
      </c>
    </row>
    <row r="145" spans="1:8" x14ac:dyDescent="0.25">
      <c r="A145" s="1">
        <v>144</v>
      </c>
      <c r="B145" s="1">
        <v>72</v>
      </c>
      <c r="C145" s="1" t="s">
        <v>252</v>
      </c>
      <c r="D145" s="1" t="s">
        <v>251</v>
      </c>
      <c r="E145" s="9">
        <v>45352</v>
      </c>
      <c r="F145" s="1">
        <v>8</v>
      </c>
      <c r="G145" s="1">
        <v>54801</v>
      </c>
      <c r="H145" s="1">
        <v>0</v>
      </c>
    </row>
    <row r="146" spans="1:8" x14ac:dyDescent="0.25">
      <c r="A146" s="1">
        <v>145</v>
      </c>
      <c r="B146" s="1">
        <v>100</v>
      </c>
      <c r="C146" s="1" t="s">
        <v>249</v>
      </c>
      <c r="D146" s="1" t="s">
        <v>248</v>
      </c>
      <c r="E146" s="9">
        <v>45007</v>
      </c>
      <c r="F146" s="1">
        <v>1</v>
      </c>
      <c r="G146" s="1">
        <v>66532</v>
      </c>
      <c r="H146" s="1">
        <v>0</v>
      </c>
    </row>
    <row r="147" spans="1:8" x14ac:dyDescent="0.25">
      <c r="A147" s="1">
        <v>146</v>
      </c>
      <c r="B147" s="1">
        <v>44</v>
      </c>
      <c r="C147" s="1" t="s">
        <v>254</v>
      </c>
      <c r="D147" s="1" t="s">
        <v>255</v>
      </c>
      <c r="E147" s="9">
        <v>45559</v>
      </c>
      <c r="F147" s="1">
        <v>3</v>
      </c>
      <c r="G147" s="1">
        <v>63200</v>
      </c>
      <c r="H147" s="1">
        <v>15</v>
      </c>
    </row>
    <row r="148" spans="1:8" x14ac:dyDescent="0.25">
      <c r="A148" s="1">
        <v>147</v>
      </c>
      <c r="B148" s="1">
        <v>83</v>
      </c>
      <c r="C148" s="1" t="s">
        <v>254</v>
      </c>
      <c r="D148" s="1" t="s">
        <v>250</v>
      </c>
      <c r="E148" s="9">
        <v>45300</v>
      </c>
      <c r="F148" s="1">
        <v>1</v>
      </c>
      <c r="G148" s="1">
        <v>30568</v>
      </c>
      <c r="H148" s="1">
        <v>10</v>
      </c>
    </row>
    <row r="149" spans="1:8" x14ac:dyDescent="0.25">
      <c r="A149" s="1">
        <v>148</v>
      </c>
      <c r="B149" s="1">
        <v>62</v>
      </c>
      <c r="C149" s="1" t="s">
        <v>254</v>
      </c>
      <c r="D149" s="1" t="s">
        <v>250</v>
      </c>
      <c r="E149" s="9">
        <v>45096</v>
      </c>
      <c r="F149" s="1">
        <v>10</v>
      </c>
      <c r="G149" s="1">
        <v>75360</v>
      </c>
      <c r="H149" s="1">
        <v>15</v>
      </c>
    </row>
    <row r="150" spans="1:8" x14ac:dyDescent="0.25">
      <c r="A150" s="1">
        <v>149</v>
      </c>
      <c r="B150" s="1">
        <v>132</v>
      </c>
      <c r="C150" s="1" t="s">
        <v>254</v>
      </c>
      <c r="D150" s="1" t="s">
        <v>253</v>
      </c>
      <c r="E150" s="9">
        <v>44984</v>
      </c>
      <c r="F150" s="1">
        <v>9</v>
      </c>
      <c r="G150" s="1">
        <v>20806</v>
      </c>
      <c r="H150" s="1">
        <v>15</v>
      </c>
    </row>
    <row r="151" spans="1:8" x14ac:dyDescent="0.25">
      <c r="A151" s="1">
        <v>150</v>
      </c>
      <c r="B151" s="1">
        <v>19</v>
      </c>
      <c r="C151" s="1" t="s">
        <v>247</v>
      </c>
      <c r="D151" s="1" t="s">
        <v>251</v>
      </c>
      <c r="E151" s="9">
        <v>45372</v>
      </c>
      <c r="F151" s="1">
        <v>1</v>
      </c>
      <c r="G151" s="1">
        <v>49017</v>
      </c>
      <c r="H151" s="1">
        <v>0</v>
      </c>
    </row>
    <row r="152" spans="1:8" x14ac:dyDescent="0.25">
      <c r="A152" s="1">
        <v>151</v>
      </c>
      <c r="B152" s="1">
        <v>23</v>
      </c>
      <c r="C152" s="1" t="s">
        <v>249</v>
      </c>
      <c r="D152" s="1" t="s">
        <v>248</v>
      </c>
      <c r="E152" s="9">
        <v>45435</v>
      </c>
      <c r="F152" s="1">
        <v>10</v>
      </c>
      <c r="G152" s="1">
        <v>24306</v>
      </c>
      <c r="H152" s="1">
        <v>10</v>
      </c>
    </row>
    <row r="153" spans="1:8" x14ac:dyDescent="0.25">
      <c r="A153" s="1">
        <v>152</v>
      </c>
      <c r="B153" s="1">
        <v>69</v>
      </c>
      <c r="C153" s="1" t="s">
        <v>252</v>
      </c>
      <c r="D153" s="1" t="s">
        <v>253</v>
      </c>
      <c r="E153" s="9">
        <v>44570</v>
      </c>
      <c r="F153" s="1">
        <v>2</v>
      </c>
      <c r="G153" s="1">
        <v>69966</v>
      </c>
      <c r="H153" s="1">
        <v>5</v>
      </c>
    </row>
    <row r="154" spans="1:8" x14ac:dyDescent="0.25">
      <c r="A154" s="1">
        <v>153</v>
      </c>
      <c r="B154" s="1">
        <v>7</v>
      </c>
      <c r="C154" s="1" t="s">
        <v>247</v>
      </c>
      <c r="D154" s="1" t="s">
        <v>250</v>
      </c>
      <c r="E154" s="9">
        <v>44691</v>
      </c>
      <c r="F154" s="1">
        <v>8</v>
      </c>
      <c r="G154" s="1">
        <v>69836</v>
      </c>
      <c r="H154" s="1">
        <v>5</v>
      </c>
    </row>
    <row r="155" spans="1:8" x14ac:dyDescent="0.25">
      <c r="A155" s="1">
        <v>154</v>
      </c>
      <c r="B155" s="1">
        <v>29</v>
      </c>
      <c r="C155" s="1" t="s">
        <v>247</v>
      </c>
      <c r="D155" s="1" t="s">
        <v>251</v>
      </c>
      <c r="E155" s="9">
        <v>44682</v>
      </c>
      <c r="F155" s="1">
        <v>5</v>
      </c>
      <c r="G155" s="1">
        <v>35359</v>
      </c>
      <c r="H155" s="1">
        <v>10</v>
      </c>
    </row>
    <row r="156" spans="1:8" x14ac:dyDescent="0.25">
      <c r="A156" s="1">
        <v>155</v>
      </c>
      <c r="B156" s="1">
        <v>175</v>
      </c>
      <c r="C156" s="1" t="s">
        <v>247</v>
      </c>
      <c r="D156" s="1" t="s">
        <v>253</v>
      </c>
      <c r="E156" s="9">
        <v>45354</v>
      </c>
      <c r="F156" s="1">
        <v>10</v>
      </c>
      <c r="G156" s="1">
        <v>36760</v>
      </c>
      <c r="H156" s="1">
        <v>15</v>
      </c>
    </row>
    <row r="157" spans="1:8" x14ac:dyDescent="0.25">
      <c r="A157" s="1">
        <v>156</v>
      </c>
      <c r="B157" s="1">
        <v>153</v>
      </c>
      <c r="C157" s="1" t="s">
        <v>249</v>
      </c>
      <c r="D157" s="1" t="s">
        <v>255</v>
      </c>
      <c r="E157" s="9">
        <v>45102</v>
      </c>
      <c r="F157" s="1">
        <v>4</v>
      </c>
      <c r="G157" s="1">
        <v>10011</v>
      </c>
      <c r="H157" s="1">
        <v>15</v>
      </c>
    </row>
    <row r="158" spans="1:8" x14ac:dyDescent="0.25">
      <c r="A158" s="1">
        <v>157</v>
      </c>
      <c r="B158" s="1">
        <v>15</v>
      </c>
      <c r="C158" s="1" t="s">
        <v>249</v>
      </c>
      <c r="D158" s="1" t="s">
        <v>253</v>
      </c>
      <c r="E158" s="9">
        <v>45097</v>
      </c>
      <c r="F158" s="1">
        <v>5</v>
      </c>
      <c r="G158" s="1">
        <v>52444</v>
      </c>
      <c r="H158" s="1">
        <v>15</v>
      </c>
    </row>
    <row r="159" spans="1:8" x14ac:dyDescent="0.25">
      <c r="A159" s="1">
        <v>158</v>
      </c>
      <c r="B159" s="1">
        <v>122</v>
      </c>
      <c r="C159" s="1" t="s">
        <v>252</v>
      </c>
      <c r="D159" s="1" t="s">
        <v>253</v>
      </c>
      <c r="E159" s="9">
        <v>45009</v>
      </c>
      <c r="F159" s="1">
        <v>6</v>
      </c>
      <c r="G159" s="1">
        <v>10404</v>
      </c>
      <c r="H159" s="1">
        <v>10</v>
      </c>
    </row>
    <row r="160" spans="1:8" x14ac:dyDescent="0.25">
      <c r="A160" s="1">
        <v>159</v>
      </c>
      <c r="B160" s="1">
        <v>10</v>
      </c>
      <c r="C160" s="1" t="s">
        <v>247</v>
      </c>
      <c r="D160" s="1" t="s">
        <v>255</v>
      </c>
      <c r="E160" s="9">
        <v>44741</v>
      </c>
      <c r="F160" s="1">
        <v>8</v>
      </c>
      <c r="G160" s="1">
        <v>23094</v>
      </c>
      <c r="H160" s="1">
        <v>15</v>
      </c>
    </row>
    <row r="161" spans="1:8" x14ac:dyDescent="0.25">
      <c r="A161" s="1">
        <v>160</v>
      </c>
      <c r="B161" s="1">
        <v>17</v>
      </c>
      <c r="C161" s="1" t="s">
        <v>252</v>
      </c>
      <c r="D161" s="1" t="s">
        <v>255</v>
      </c>
      <c r="E161" s="9">
        <v>44590</v>
      </c>
      <c r="F161" s="1">
        <v>10</v>
      </c>
      <c r="G161" s="1">
        <v>66241</v>
      </c>
      <c r="H161" s="1">
        <v>10</v>
      </c>
    </row>
    <row r="162" spans="1:8" x14ac:dyDescent="0.25">
      <c r="A162" s="1">
        <v>161</v>
      </c>
      <c r="B162" s="1">
        <v>176</v>
      </c>
      <c r="C162" s="1" t="s">
        <v>249</v>
      </c>
      <c r="D162" s="1" t="s">
        <v>255</v>
      </c>
      <c r="E162" s="9">
        <v>44991</v>
      </c>
      <c r="F162" s="1">
        <v>2</v>
      </c>
      <c r="G162" s="1">
        <v>40786</v>
      </c>
      <c r="H162" s="1">
        <v>5</v>
      </c>
    </row>
    <row r="163" spans="1:8" x14ac:dyDescent="0.25">
      <c r="A163" s="1">
        <v>162</v>
      </c>
      <c r="B163" s="1">
        <v>59</v>
      </c>
      <c r="C163" s="1" t="s">
        <v>249</v>
      </c>
      <c r="D163" s="1" t="s">
        <v>253</v>
      </c>
      <c r="E163" s="9">
        <v>45012</v>
      </c>
      <c r="F163" s="1">
        <v>10</v>
      </c>
      <c r="G163" s="1">
        <v>7584</v>
      </c>
      <c r="H163" s="1">
        <v>5</v>
      </c>
    </row>
    <row r="164" spans="1:8" x14ac:dyDescent="0.25">
      <c r="A164" s="1">
        <v>163</v>
      </c>
      <c r="B164" s="1">
        <v>112</v>
      </c>
      <c r="C164" s="1" t="s">
        <v>252</v>
      </c>
      <c r="D164" s="1" t="s">
        <v>253</v>
      </c>
      <c r="E164" s="9">
        <v>45056</v>
      </c>
      <c r="F164" s="1">
        <v>6</v>
      </c>
      <c r="G164" s="1">
        <v>12608</v>
      </c>
      <c r="H164" s="1">
        <v>15</v>
      </c>
    </row>
    <row r="165" spans="1:8" x14ac:dyDescent="0.25">
      <c r="A165" s="1">
        <v>164</v>
      </c>
      <c r="B165" s="1">
        <v>143</v>
      </c>
      <c r="C165" s="1" t="s">
        <v>247</v>
      </c>
      <c r="D165" s="1" t="s">
        <v>251</v>
      </c>
      <c r="E165" s="9">
        <v>44580</v>
      </c>
      <c r="F165" s="1">
        <v>8</v>
      </c>
      <c r="G165" s="1">
        <v>29221</v>
      </c>
      <c r="H165" s="1">
        <v>15</v>
      </c>
    </row>
    <row r="166" spans="1:8" x14ac:dyDescent="0.25">
      <c r="A166" s="1">
        <v>165</v>
      </c>
      <c r="B166" s="1">
        <v>82</v>
      </c>
      <c r="C166" s="1" t="s">
        <v>249</v>
      </c>
      <c r="D166" s="1" t="s">
        <v>248</v>
      </c>
      <c r="E166" s="9">
        <v>45062</v>
      </c>
      <c r="F166" s="1">
        <v>3</v>
      </c>
      <c r="G166" s="1">
        <v>28088</v>
      </c>
      <c r="H166" s="1">
        <v>0</v>
      </c>
    </row>
    <row r="167" spans="1:8" x14ac:dyDescent="0.25">
      <c r="A167" s="1">
        <v>166</v>
      </c>
      <c r="B167" s="1">
        <v>137</v>
      </c>
      <c r="C167" s="1" t="s">
        <v>254</v>
      </c>
      <c r="D167" s="1" t="s">
        <v>253</v>
      </c>
      <c r="E167" s="9">
        <v>45491</v>
      </c>
      <c r="F167" s="1">
        <v>2</v>
      </c>
      <c r="G167" s="1">
        <v>21680</v>
      </c>
      <c r="H167" s="1">
        <v>0</v>
      </c>
    </row>
    <row r="168" spans="1:8" x14ac:dyDescent="0.25">
      <c r="A168" s="1">
        <v>167</v>
      </c>
      <c r="B168" s="1">
        <v>112</v>
      </c>
      <c r="C168" s="1" t="s">
        <v>247</v>
      </c>
      <c r="D168" s="1" t="s">
        <v>250</v>
      </c>
      <c r="E168" s="9">
        <v>45430</v>
      </c>
      <c r="F168" s="1">
        <v>8</v>
      </c>
      <c r="G168" s="1">
        <v>56815</v>
      </c>
      <c r="H168" s="1">
        <v>5</v>
      </c>
    </row>
    <row r="169" spans="1:8" x14ac:dyDescent="0.25">
      <c r="A169" s="1">
        <v>168</v>
      </c>
      <c r="B169" s="1">
        <v>185</v>
      </c>
      <c r="C169" s="1" t="s">
        <v>252</v>
      </c>
      <c r="D169" s="1" t="s">
        <v>251</v>
      </c>
      <c r="E169" s="9">
        <v>45558</v>
      </c>
      <c r="F169" s="1">
        <v>1</v>
      </c>
      <c r="G169" s="1">
        <v>68115</v>
      </c>
      <c r="H169" s="1">
        <v>5</v>
      </c>
    </row>
    <row r="170" spans="1:8" x14ac:dyDescent="0.25">
      <c r="A170" s="1">
        <v>169</v>
      </c>
      <c r="B170" s="1">
        <v>71</v>
      </c>
      <c r="C170" s="1" t="s">
        <v>249</v>
      </c>
      <c r="D170" s="1" t="s">
        <v>250</v>
      </c>
      <c r="E170" s="9">
        <v>45383</v>
      </c>
      <c r="F170" s="1">
        <v>7</v>
      </c>
      <c r="G170" s="1">
        <v>15636</v>
      </c>
      <c r="H170" s="1">
        <v>0</v>
      </c>
    </row>
    <row r="171" spans="1:8" x14ac:dyDescent="0.25">
      <c r="A171" s="1">
        <v>170</v>
      </c>
      <c r="B171" s="1">
        <v>22</v>
      </c>
      <c r="C171" s="1" t="s">
        <v>252</v>
      </c>
      <c r="D171" s="1" t="s">
        <v>248</v>
      </c>
      <c r="E171" s="9">
        <v>44877</v>
      </c>
      <c r="F171" s="1">
        <v>2</v>
      </c>
      <c r="G171" s="1">
        <v>13450</v>
      </c>
      <c r="H171" s="1">
        <v>10</v>
      </c>
    </row>
    <row r="172" spans="1:8" x14ac:dyDescent="0.25">
      <c r="A172" s="1">
        <v>171</v>
      </c>
      <c r="B172" s="1">
        <v>6</v>
      </c>
      <c r="C172" s="1" t="s">
        <v>249</v>
      </c>
      <c r="D172" s="1" t="s">
        <v>255</v>
      </c>
      <c r="E172" s="9">
        <v>45080</v>
      </c>
      <c r="F172" s="1">
        <v>3</v>
      </c>
      <c r="G172" s="1">
        <v>21246</v>
      </c>
      <c r="H172" s="1">
        <v>5</v>
      </c>
    </row>
    <row r="173" spans="1:8" x14ac:dyDescent="0.25">
      <c r="A173" s="1">
        <v>172</v>
      </c>
      <c r="B173" s="1">
        <v>137</v>
      </c>
      <c r="C173" s="1" t="s">
        <v>249</v>
      </c>
      <c r="D173" s="1" t="s">
        <v>253</v>
      </c>
      <c r="E173" s="9">
        <v>45096</v>
      </c>
      <c r="F173" s="1">
        <v>6</v>
      </c>
      <c r="G173" s="1">
        <v>16209</v>
      </c>
      <c r="H173" s="1">
        <v>5</v>
      </c>
    </row>
    <row r="174" spans="1:8" x14ac:dyDescent="0.25">
      <c r="A174" s="1">
        <v>173</v>
      </c>
      <c r="B174" s="1">
        <v>98</v>
      </c>
      <c r="C174" s="1" t="s">
        <v>247</v>
      </c>
      <c r="D174" s="1" t="s">
        <v>250</v>
      </c>
      <c r="E174" s="9">
        <v>45559</v>
      </c>
      <c r="F174" s="1">
        <v>10</v>
      </c>
      <c r="G174" s="1">
        <v>48893</v>
      </c>
      <c r="H174" s="1">
        <v>10</v>
      </c>
    </row>
    <row r="175" spans="1:8" x14ac:dyDescent="0.25">
      <c r="A175" s="1">
        <v>174</v>
      </c>
      <c r="B175" s="1">
        <v>26</v>
      </c>
      <c r="C175" s="1" t="s">
        <v>249</v>
      </c>
      <c r="D175" s="1" t="s">
        <v>253</v>
      </c>
      <c r="E175" s="9">
        <v>44921</v>
      </c>
      <c r="F175" s="1">
        <v>5</v>
      </c>
      <c r="G175" s="1">
        <v>6719</v>
      </c>
      <c r="H175" s="1">
        <v>10</v>
      </c>
    </row>
    <row r="176" spans="1:8" x14ac:dyDescent="0.25">
      <c r="A176" s="1">
        <v>175</v>
      </c>
      <c r="B176" s="1">
        <v>187</v>
      </c>
      <c r="C176" s="1" t="s">
        <v>254</v>
      </c>
      <c r="D176" s="1" t="s">
        <v>250</v>
      </c>
      <c r="E176" s="9">
        <v>45203</v>
      </c>
      <c r="F176" s="1">
        <v>4</v>
      </c>
      <c r="G176" s="1">
        <v>64886</v>
      </c>
      <c r="H176" s="1">
        <v>15</v>
      </c>
    </row>
    <row r="177" spans="1:8" x14ac:dyDescent="0.25">
      <c r="A177" s="1">
        <v>176</v>
      </c>
      <c r="B177" s="1">
        <v>192</v>
      </c>
      <c r="C177" s="1" t="s">
        <v>249</v>
      </c>
      <c r="D177" s="1" t="s">
        <v>248</v>
      </c>
      <c r="E177" s="9">
        <v>44856</v>
      </c>
      <c r="F177" s="1">
        <v>9</v>
      </c>
      <c r="G177" s="1">
        <v>71492</v>
      </c>
      <c r="H177" s="1">
        <v>15</v>
      </c>
    </row>
    <row r="178" spans="1:8" x14ac:dyDescent="0.25">
      <c r="A178" s="1">
        <v>177</v>
      </c>
      <c r="B178" s="1">
        <v>61</v>
      </c>
      <c r="C178" s="1" t="s">
        <v>254</v>
      </c>
      <c r="D178" s="1" t="s">
        <v>248</v>
      </c>
      <c r="E178" s="9">
        <v>45488</v>
      </c>
      <c r="F178" s="1">
        <v>10</v>
      </c>
      <c r="G178" s="1">
        <v>73205</v>
      </c>
      <c r="H178" s="1">
        <v>0</v>
      </c>
    </row>
    <row r="179" spans="1:8" x14ac:dyDescent="0.25">
      <c r="A179" s="1">
        <v>178</v>
      </c>
      <c r="B179" s="1">
        <v>113</v>
      </c>
      <c r="C179" s="1" t="s">
        <v>247</v>
      </c>
      <c r="D179" s="1" t="s">
        <v>250</v>
      </c>
      <c r="E179" s="9">
        <v>45463</v>
      </c>
      <c r="F179" s="1">
        <v>4</v>
      </c>
      <c r="G179" s="1">
        <v>35854</v>
      </c>
      <c r="H179" s="1">
        <v>15</v>
      </c>
    </row>
    <row r="180" spans="1:8" x14ac:dyDescent="0.25">
      <c r="A180" s="1">
        <v>179</v>
      </c>
      <c r="B180" s="1">
        <v>120</v>
      </c>
      <c r="C180" s="1" t="s">
        <v>252</v>
      </c>
      <c r="D180" s="1" t="s">
        <v>250</v>
      </c>
      <c r="E180" s="9">
        <v>45330</v>
      </c>
      <c r="F180" s="1">
        <v>1</v>
      </c>
      <c r="G180" s="1">
        <v>52105</v>
      </c>
      <c r="H180" s="1">
        <v>10</v>
      </c>
    </row>
    <row r="181" spans="1:8" x14ac:dyDescent="0.25">
      <c r="A181" s="1">
        <v>180</v>
      </c>
      <c r="B181" s="1">
        <v>41</v>
      </c>
      <c r="C181" s="1" t="s">
        <v>254</v>
      </c>
      <c r="D181" s="1" t="s">
        <v>253</v>
      </c>
      <c r="E181" s="9">
        <v>44871</v>
      </c>
      <c r="F181" s="1">
        <v>7</v>
      </c>
      <c r="G181" s="1">
        <v>19391</v>
      </c>
      <c r="H181" s="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workbookViewId="0">
      <selection activeCell="A6" sqref="A6"/>
    </sheetView>
  </sheetViews>
  <sheetFormatPr defaultRowHeight="15" x14ac:dyDescent="0.25"/>
  <cols>
    <col min="3" max="3" width="10.28515625" bestFit="1" customWidth="1"/>
  </cols>
  <sheetData>
    <row r="1" spans="1:6" x14ac:dyDescent="0.25">
      <c r="A1" s="7" t="s">
        <v>256</v>
      </c>
      <c r="B1" s="7" t="s">
        <v>0</v>
      </c>
      <c r="C1" s="7" t="s">
        <v>257</v>
      </c>
      <c r="D1" s="7" t="s">
        <v>258</v>
      </c>
      <c r="E1" s="7" t="s">
        <v>259</v>
      </c>
      <c r="F1" s="7" t="s">
        <v>260</v>
      </c>
    </row>
    <row r="2" spans="1:6" x14ac:dyDescent="0.25">
      <c r="A2" s="1">
        <v>1</v>
      </c>
      <c r="B2" s="1">
        <v>121</v>
      </c>
      <c r="C2" s="1">
        <v>45293</v>
      </c>
      <c r="D2" s="1" t="s">
        <v>261</v>
      </c>
      <c r="E2" s="9" t="s">
        <v>262</v>
      </c>
      <c r="F2" s="1" t="s">
        <v>263</v>
      </c>
    </row>
    <row r="3" spans="1:6" x14ac:dyDescent="0.25">
      <c r="A3" s="1">
        <v>2</v>
      </c>
      <c r="B3" s="1">
        <v>59</v>
      </c>
      <c r="C3" s="1">
        <v>45294</v>
      </c>
      <c r="D3" s="1" t="s">
        <v>261</v>
      </c>
      <c r="E3" s="9" t="s">
        <v>262</v>
      </c>
      <c r="F3" s="1" t="s">
        <v>264</v>
      </c>
    </row>
    <row r="4" spans="1:6" x14ac:dyDescent="0.25">
      <c r="A4" s="1">
        <v>3</v>
      </c>
      <c r="B4" s="1">
        <v>157</v>
      </c>
      <c r="C4" s="1">
        <v>45295</v>
      </c>
      <c r="D4" s="1" t="s">
        <v>261</v>
      </c>
      <c r="E4" s="9" t="s">
        <v>262</v>
      </c>
      <c r="F4" s="1" t="s">
        <v>265</v>
      </c>
    </row>
    <row r="5" spans="1:6" x14ac:dyDescent="0.25">
      <c r="A5" s="1">
        <v>4</v>
      </c>
      <c r="B5" s="1">
        <v>53</v>
      </c>
      <c r="C5" s="1">
        <v>45296</v>
      </c>
      <c r="D5" s="1" t="s">
        <v>261</v>
      </c>
      <c r="E5" s="9" t="s">
        <v>262</v>
      </c>
      <c r="F5" s="1" t="s">
        <v>265</v>
      </c>
    </row>
    <row r="6" spans="1:6" x14ac:dyDescent="0.25">
      <c r="A6" s="1">
        <v>5</v>
      </c>
      <c r="B6" s="1">
        <v>69</v>
      </c>
      <c r="C6" s="1">
        <v>45297</v>
      </c>
      <c r="D6" s="1" t="s">
        <v>261</v>
      </c>
      <c r="E6" s="9" t="s">
        <v>262</v>
      </c>
      <c r="F6" s="1" t="s">
        <v>266</v>
      </c>
    </row>
    <row r="7" spans="1:6" x14ac:dyDescent="0.25">
      <c r="A7" s="1">
        <v>6</v>
      </c>
      <c r="B7" s="1">
        <v>131</v>
      </c>
      <c r="C7" s="1">
        <v>45298</v>
      </c>
      <c r="D7" s="1" t="s">
        <v>261</v>
      </c>
      <c r="E7" s="9" t="s">
        <v>262</v>
      </c>
      <c r="F7" s="1" t="s">
        <v>264</v>
      </c>
    </row>
    <row r="8" spans="1:6" x14ac:dyDescent="0.25">
      <c r="A8" s="1">
        <v>7</v>
      </c>
      <c r="B8" s="1">
        <v>168</v>
      </c>
      <c r="C8" s="1">
        <v>45299</v>
      </c>
      <c r="D8" s="1" t="s">
        <v>261</v>
      </c>
      <c r="E8" s="9" t="s">
        <v>262</v>
      </c>
      <c r="F8" s="1" t="s">
        <v>263</v>
      </c>
    </row>
    <row r="9" spans="1:6" x14ac:dyDescent="0.25">
      <c r="A9" s="1">
        <v>8</v>
      </c>
      <c r="B9" s="1">
        <v>88</v>
      </c>
      <c r="C9" s="1">
        <v>45300</v>
      </c>
      <c r="D9" s="1" t="s">
        <v>261</v>
      </c>
      <c r="E9" s="9" t="s">
        <v>262</v>
      </c>
      <c r="F9" s="1" t="s">
        <v>263</v>
      </c>
    </row>
    <row r="10" spans="1:6" x14ac:dyDescent="0.25">
      <c r="A10" s="1">
        <v>9</v>
      </c>
      <c r="B10" s="1">
        <v>68</v>
      </c>
      <c r="C10" s="1">
        <v>45301</v>
      </c>
      <c r="D10" s="1" t="s">
        <v>261</v>
      </c>
      <c r="E10" s="9" t="s">
        <v>262</v>
      </c>
      <c r="F10" s="1" t="s">
        <v>264</v>
      </c>
    </row>
    <row r="11" spans="1:6" x14ac:dyDescent="0.25">
      <c r="A11" s="1">
        <v>10</v>
      </c>
      <c r="B11" s="1">
        <v>186</v>
      </c>
      <c r="C11" s="1">
        <v>45302</v>
      </c>
      <c r="D11" s="1" t="s">
        <v>261</v>
      </c>
      <c r="E11" s="9" t="s">
        <v>262</v>
      </c>
      <c r="F11" s="1" t="s">
        <v>265</v>
      </c>
    </row>
    <row r="12" spans="1:6" x14ac:dyDescent="0.25">
      <c r="A12" s="1">
        <v>11</v>
      </c>
      <c r="B12" s="1">
        <v>13</v>
      </c>
      <c r="C12" s="1">
        <v>45303</v>
      </c>
      <c r="D12" s="1" t="s">
        <v>261</v>
      </c>
      <c r="E12" s="9" t="s">
        <v>262</v>
      </c>
      <c r="F12" s="1" t="s">
        <v>266</v>
      </c>
    </row>
    <row r="13" spans="1:6" x14ac:dyDescent="0.25">
      <c r="A13" s="1">
        <v>12</v>
      </c>
      <c r="B13" s="1">
        <v>146</v>
      </c>
      <c r="C13" s="1">
        <v>45304</v>
      </c>
      <c r="D13" s="1" t="s">
        <v>261</v>
      </c>
      <c r="E13" s="9" t="s">
        <v>262</v>
      </c>
      <c r="F13" s="1" t="s">
        <v>264</v>
      </c>
    </row>
    <row r="14" spans="1:6" x14ac:dyDescent="0.25">
      <c r="A14" s="1">
        <v>13</v>
      </c>
      <c r="B14" s="1">
        <v>188</v>
      </c>
      <c r="C14" s="1">
        <v>45305</v>
      </c>
      <c r="D14" s="1" t="s">
        <v>261</v>
      </c>
      <c r="E14" s="9" t="s">
        <v>262</v>
      </c>
      <c r="F14" s="1" t="s">
        <v>264</v>
      </c>
    </row>
    <row r="15" spans="1:6" x14ac:dyDescent="0.25">
      <c r="A15" s="1">
        <v>14</v>
      </c>
      <c r="B15" s="1">
        <v>17</v>
      </c>
      <c r="C15" s="1">
        <v>45306</v>
      </c>
      <c r="D15" s="1" t="s">
        <v>261</v>
      </c>
      <c r="E15" s="9" t="s">
        <v>262</v>
      </c>
      <c r="F15" s="1" t="s">
        <v>263</v>
      </c>
    </row>
    <row r="16" spans="1:6" x14ac:dyDescent="0.25">
      <c r="A16" s="1">
        <v>15</v>
      </c>
      <c r="B16" s="1">
        <v>184</v>
      </c>
      <c r="C16" s="1">
        <v>45307</v>
      </c>
      <c r="D16" s="1" t="s">
        <v>261</v>
      </c>
      <c r="E16" s="9" t="s">
        <v>262</v>
      </c>
      <c r="F16" s="1" t="s">
        <v>266</v>
      </c>
    </row>
    <row r="17" spans="1:6" x14ac:dyDescent="0.25">
      <c r="A17" s="1">
        <v>16</v>
      </c>
      <c r="B17" s="1">
        <v>82</v>
      </c>
      <c r="C17" s="1">
        <v>45308</v>
      </c>
      <c r="D17" s="1" t="s">
        <v>261</v>
      </c>
      <c r="E17" s="9" t="s">
        <v>262</v>
      </c>
      <c r="F17" s="1" t="s">
        <v>265</v>
      </c>
    </row>
    <row r="18" spans="1:6" x14ac:dyDescent="0.25">
      <c r="A18" s="1">
        <v>17</v>
      </c>
      <c r="B18" s="1">
        <v>74</v>
      </c>
      <c r="C18" s="1">
        <v>45309</v>
      </c>
      <c r="D18" s="1" t="s">
        <v>261</v>
      </c>
      <c r="E18" s="9" t="s">
        <v>262</v>
      </c>
      <c r="F18" s="1" t="s">
        <v>265</v>
      </c>
    </row>
    <row r="19" spans="1:6" x14ac:dyDescent="0.25">
      <c r="A19" s="1">
        <v>18</v>
      </c>
      <c r="B19" s="1">
        <v>161</v>
      </c>
      <c r="C19" s="1">
        <v>45310</v>
      </c>
      <c r="D19" s="1" t="s">
        <v>261</v>
      </c>
      <c r="E19" s="9" t="s">
        <v>262</v>
      </c>
      <c r="F19" s="1" t="s">
        <v>265</v>
      </c>
    </row>
    <row r="20" spans="1:6" x14ac:dyDescent="0.25">
      <c r="A20" s="1">
        <v>19</v>
      </c>
      <c r="B20" s="1">
        <v>29</v>
      </c>
      <c r="C20" s="1">
        <v>45311</v>
      </c>
      <c r="D20" s="1" t="s">
        <v>261</v>
      </c>
      <c r="E20" s="9" t="s">
        <v>262</v>
      </c>
      <c r="F20" s="1" t="s">
        <v>263</v>
      </c>
    </row>
    <row r="21" spans="1:6" x14ac:dyDescent="0.25">
      <c r="A21" s="1">
        <v>20</v>
      </c>
      <c r="B21" s="1">
        <v>197</v>
      </c>
      <c r="C21" s="1">
        <v>45312</v>
      </c>
      <c r="D21" s="1" t="s">
        <v>261</v>
      </c>
      <c r="E21" s="9" t="s">
        <v>262</v>
      </c>
      <c r="F21" s="1" t="s">
        <v>263</v>
      </c>
    </row>
    <row r="22" spans="1:6" x14ac:dyDescent="0.25">
      <c r="A22" s="1">
        <v>21</v>
      </c>
      <c r="B22" s="1">
        <v>125</v>
      </c>
      <c r="C22" s="1">
        <v>45313</v>
      </c>
      <c r="D22" s="1" t="s">
        <v>261</v>
      </c>
      <c r="E22" s="9" t="s">
        <v>262</v>
      </c>
      <c r="F22" s="1" t="s">
        <v>263</v>
      </c>
    </row>
    <row r="23" spans="1:6" x14ac:dyDescent="0.25">
      <c r="A23" s="1">
        <v>22</v>
      </c>
      <c r="B23" s="1">
        <v>164</v>
      </c>
      <c r="C23" s="1">
        <v>45314</v>
      </c>
      <c r="D23" s="1" t="s">
        <v>261</v>
      </c>
      <c r="E23" s="9" t="s">
        <v>262</v>
      </c>
      <c r="F23" s="1" t="s">
        <v>263</v>
      </c>
    </row>
    <row r="24" spans="1:6" x14ac:dyDescent="0.25">
      <c r="A24" s="1">
        <v>23</v>
      </c>
      <c r="B24" s="1">
        <v>185</v>
      </c>
      <c r="C24" s="1">
        <v>45315</v>
      </c>
      <c r="D24" s="1" t="s">
        <v>261</v>
      </c>
      <c r="E24" s="9" t="s">
        <v>262</v>
      </c>
      <c r="F24" s="1" t="s">
        <v>266</v>
      </c>
    </row>
    <row r="25" spans="1:6" x14ac:dyDescent="0.25">
      <c r="A25" s="1">
        <v>24</v>
      </c>
      <c r="B25" s="1">
        <v>7</v>
      </c>
      <c r="C25" s="1">
        <v>45316</v>
      </c>
      <c r="D25" s="1" t="s">
        <v>261</v>
      </c>
      <c r="E25" s="9" t="s">
        <v>262</v>
      </c>
      <c r="F25" s="1" t="s">
        <v>265</v>
      </c>
    </row>
    <row r="26" spans="1:6" x14ac:dyDescent="0.25">
      <c r="A26" s="1">
        <v>25</v>
      </c>
      <c r="B26" s="1">
        <v>101</v>
      </c>
      <c r="C26" s="1">
        <v>45317</v>
      </c>
      <c r="D26" s="1" t="s">
        <v>261</v>
      </c>
      <c r="E26" s="9" t="s">
        <v>262</v>
      </c>
      <c r="F26" s="1" t="s">
        <v>263</v>
      </c>
    </row>
    <row r="27" spans="1:6" x14ac:dyDescent="0.25">
      <c r="A27" s="1">
        <v>26</v>
      </c>
      <c r="B27" s="1">
        <v>84</v>
      </c>
      <c r="C27" s="1">
        <v>45318</v>
      </c>
      <c r="D27" s="1" t="s">
        <v>261</v>
      </c>
      <c r="E27" s="9" t="s">
        <v>262</v>
      </c>
      <c r="F27" s="1" t="s">
        <v>266</v>
      </c>
    </row>
    <row r="28" spans="1:6" x14ac:dyDescent="0.25">
      <c r="A28" s="1">
        <v>27</v>
      </c>
      <c r="B28" s="1">
        <v>179</v>
      </c>
      <c r="C28" s="1">
        <v>45319</v>
      </c>
      <c r="D28" s="1" t="s">
        <v>261</v>
      </c>
      <c r="E28" s="9" t="s">
        <v>262</v>
      </c>
      <c r="F28" s="1" t="s">
        <v>263</v>
      </c>
    </row>
    <row r="29" spans="1:6" x14ac:dyDescent="0.25">
      <c r="A29" s="1">
        <v>28</v>
      </c>
      <c r="B29" s="1">
        <v>82</v>
      </c>
      <c r="C29" s="1">
        <v>45320</v>
      </c>
      <c r="D29" s="1" t="s">
        <v>261</v>
      </c>
      <c r="E29" s="9" t="s">
        <v>262</v>
      </c>
      <c r="F29" s="1" t="s">
        <v>263</v>
      </c>
    </row>
    <row r="30" spans="1:6" x14ac:dyDescent="0.25">
      <c r="A30" s="1">
        <v>29</v>
      </c>
      <c r="B30" s="1">
        <v>4</v>
      </c>
      <c r="C30" s="1">
        <v>45321</v>
      </c>
      <c r="D30" s="1" t="s">
        <v>261</v>
      </c>
      <c r="E30" s="9" t="s">
        <v>262</v>
      </c>
      <c r="F30" s="1" t="s">
        <v>264</v>
      </c>
    </row>
    <row r="31" spans="1:6" x14ac:dyDescent="0.25">
      <c r="A31" s="1">
        <v>30</v>
      </c>
      <c r="B31" s="1">
        <v>111</v>
      </c>
      <c r="C31" s="1">
        <v>45322</v>
      </c>
      <c r="D31" s="1" t="s">
        <v>261</v>
      </c>
      <c r="E31" s="9" t="s">
        <v>262</v>
      </c>
      <c r="F31" s="1" t="s">
        <v>266</v>
      </c>
    </row>
    <row r="32" spans="1:6" x14ac:dyDescent="0.25">
      <c r="A32" s="1">
        <v>31</v>
      </c>
      <c r="B32" s="1">
        <v>190</v>
      </c>
      <c r="C32" s="1">
        <v>45323</v>
      </c>
      <c r="D32" s="1" t="s">
        <v>261</v>
      </c>
      <c r="E32" s="9" t="s">
        <v>262</v>
      </c>
      <c r="F32" s="1" t="s">
        <v>263</v>
      </c>
    </row>
    <row r="33" spans="1:6" x14ac:dyDescent="0.25">
      <c r="A33" s="1">
        <v>32</v>
      </c>
      <c r="B33" s="1">
        <v>26</v>
      </c>
      <c r="C33" s="1">
        <v>45324</v>
      </c>
      <c r="D33" s="1" t="s">
        <v>261</v>
      </c>
      <c r="E33" s="9" t="s">
        <v>262</v>
      </c>
      <c r="F33" s="1" t="s">
        <v>266</v>
      </c>
    </row>
    <row r="34" spans="1:6" x14ac:dyDescent="0.25">
      <c r="A34" s="1">
        <v>33</v>
      </c>
      <c r="B34" s="1">
        <v>79</v>
      </c>
      <c r="C34" s="1">
        <v>45325</v>
      </c>
      <c r="D34" s="1" t="s">
        <v>261</v>
      </c>
      <c r="E34" s="9" t="s">
        <v>262</v>
      </c>
      <c r="F34" s="1" t="s">
        <v>263</v>
      </c>
    </row>
    <row r="35" spans="1:6" x14ac:dyDescent="0.25">
      <c r="A35" s="1">
        <v>34</v>
      </c>
      <c r="B35" s="1">
        <v>55</v>
      </c>
      <c r="C35" s="1">
        <v>45326</v>
      </c>
      <c r="D35" s="1" t="s">
        <v>261</v>
      </c>
      <c r="E35" s="9" t="s">
        <v>262</v>
      </c>
      <c r="F35" s="1" t="s">
        <v>263</v>
      </c>
    </row>
    <row r="36" spans="1:6" x14ac:dyDescent="0.25">
      <c r="A36" s="1">
        <v>35</v>
      </c>
      <c r="B36" s="1">
        <v>69</v>
      </c>
      <c r="C36" s="1">
        <v>45327</v>
      </c>
      <c r="D36" s="1" t="s">
        <v>261</v>
      </c>
      <c r="E36" s="9" t="s">
        <v>262</v>
      </c>
      <c r="F36" s="1" t="s">
        <v>266</v>
      </c>
    </row>
    <row r="37" spans="1:6" x14ac:dyDescent="0.25">
      <c r="A37" s="1">
        <v>36</v>
      </c>
      <c r="B37" s="1">
        <v>14</v>
      </c>
      <c r="C37" s="1">
        <v>45328</v>
      </c>
      <c r="D37" s="1" t="s">
        <v>261</v>
      </c>
      <c r="E37" s="9" t="s">
        <v>262</v>
      </c>
      <c r="F37" s="1" t="s">
        <v>263</v>
      </c>
    </row>
    <row r="38" spans="1:6" x14ac:dyDescent="0.25">
      <c r="A38" s="1">
        <v>37</v>
      </c>
      <c r="B38" s="1">
        <v>96</v>
      </c>
      <c r="C38" s="1">
        <v>45329</v>
      </c>
      <c r="D38" s="1" t="s">
        <v>261</v>
      </c>
      <c r="E38" s="9" t="s">
        <v>262</v>
      </c>
      <c r="F38" s="1" t="s">
        <v>266</v>
      </c>
    </row>
    <row r="39" spans="1:6" x14ac:dyDescent="0.25">
      <c r="A39" s="1">
        <v>38</v>
      </c>
      <c r="B39" s="1">
        <v>67</v>
      </c>
      <c r="C39" s="1">
        <v>45330</v>
      </c>
      <c r="D39" s="1" t="s">
        <v>261</v>
      </c>
      <c r="E39" s="9" t="s">
        <v>262</v>
      </c>
      <c r="F39" s="1" t="s">
        <v>264</v>
      </c>
    </row>
    <row r="40" spans="1:6" x14ac:dyDescent="0.25">
      <c r="A40" s="1">
        <v>39</v>
      </c>
      <c r="B40" s="1">
        <v>64</v>
      </c>
      <c r="C40" s="1">
        <v>45331</v>
      </c>
      <c r="D40" s="1" t="s">
        <v>261</v>
      </c>
      <c r="E40" s="9" t="s">
        <v>262</v>
      </c>
      <c r="F40" s="1" t="s">
        <v>264</v>
      </c>
    </row>
    <row r="41" spans="1:6" x14ac:dyDescent="0.25">
      <c r="A41" s="1">
        <v>40</v>
      </c>
      <c r="B41" s="1">
        <v>187</v>
      </c>
      <c r="C41" s="1">
        <v>45332</v>
      </c>
      <c r="D41" s="1" t="s">
        <v>261</v>
      </c>
      <c r="E41" s="9" t="s">
        <v>262</v>
      </c>
      <c r="F41" s="1" t="s">
        <v>264</v>
      </c>
    </row>
    <row r="42" spans="1:6" x14ac:dyDescent="0.25">
      <c r="A42" s="1">
        <v>41</v>
      </c>
      <c r="B42" s="1">
        <v>139</v>
      </c>
      <c r="C42" s="1">
        <v>45333</v>
      </c>
      <c r="D42" s="1" t="s">
        <v>261</v>
      </c>
      <c r="E42" s="9" t="s">
        <v>262</v>
      </c>
      <c r="F42" s="1" t="s">
        <v>263</v>
      </c>
    </row>
    <row r="43" spans="1:6" x14ac:dyDescent="0.25">
      <c r="A43" s="1">
        <v>42</v>
      </c>
      <c r="B43" s="1">
        <v>70</v>
      </c>
      <c r="C43" s="1">
        <v>45334</v>
      </c>
      <c r="D43" s="1" t="s">
        <v>261</v>
      </c>
      <c r="E43" s="9" t="s">
        <v>262</v>
      </c>
      <c r="F43" s="1" t="s">
        <v>265</v>
      </c>
    </row>
    <row r="44" spans="1:6" x14ac:dyDescent="0.25">
      <c r="A44" s="1">
        <v>43</v>
      </c>
      <c r="B44" s="1">
        <v>69</v>
      </c>
      <c r="C44" s="1">
        <v>45335</v>
      </c>
      <c r="D44" s="1" t="s">
        <v>261</v>
      </c>
      <c r="E44" s="9" t="s">
        <v>262</v>
      </c>
      <c r="F44" s="1" t="s">
        <v>264</v>
      </c>
    </row>
    <row r="45" spans="1:6" x14ac:dyDescent="0.25">
      <c r="A45" s="1">
        <v>44</v>
      </c>
      <c r="B45" s="1">
        <v>93</v>
      </c>
      <c r="C45" s="1">
        <v>45336</v>
      </c>
      <c r="D45" s="1" t="s">
        <v>261</v>
      </c>
      <c r="E45" s="9" t="s">
        <v>262</v>
      </c>
      <c r="F45" s="1" t="s">
        <v>266</v>
      </c>
    </row>
    <row r="46" spans="1:6" x14ac:dyDescent="0.25">
      <c r="A46" s="1">
        <v>45</v>
      </c>
      <c r="B46" s="1">
        <v>41</v>
      </c>
      <c r="C46" s="1">
        <v>45337</v>
      </c>
      <c r="D46" s="1" t="s">
        <v>261</v>
      </c>
      <c r="E46" s="9" t="s">
        <v>262</v>
      </c>
      <c r="F46" s="1" t="s">
        <v>263</v>
      </c>
    </row>
    <row r="47" spans="1:6" x14ac:dyDescent="0.25">
      <c r="A47" s="1">
        <v>46</v>
      </c>
      <c r="B47" s="1">
        <v>112</v>
      </c>
      <c r="C47" s="1">
        <v>45338</v>
      </c>
      <c r="D47" s="1" t="s">
        <v>261</v>
      </c>
      <c r="E47" s="9" t="s">
        <v>262</v>
      </c>
      <c r="F47" s="1" t="s">
        <v>264</v>
      </c>
    </row>
    <row r="48" spans="1:6" x14ac:dyDescent="0.25">
      <c r="A48" s="1">
        <v>47</v>
      </c>
      <c r="B48" s="1">
        <v>111</v>
      </c>
      <c r="C48" s="1">
        <v>45339</v>
      </c>
      <c r="D48" s="1" t="s">
        <v>261</v>
      </c>
      <c r="E48" s="9" t="s">
        <v>262</v>
      </c>
      <c r="F48" s="1" t="s">
        <v>264</v>
      </c>
    </row>
    <row r="49" spans="1:6" x14ac:dyDescent="0.25">
      <c r="A49" s="1">
        <v>48</v>
      </c>
      <c r="B49" s="1">
        <v>140</v>
      </c>
      <c r="C49" s="1">
        <v>45340</v>
      </c>
      <c r="D49" s="1" t="s">
        <v>261</v>
      </c>
      <c r="E49" s="9" t="s">
        <v>262</v>
      </c>
      <c r="F49" s="1" t="s">
        <v>264</v>
      </c>
    </row>
    <row r="50" spans="1:6" x14ac:dyDescent="0.25">
      <c r="A50" s="1">
        <v>49</v>
      </c>
      <c r="B50" s="1">
        <v>58</v>
      </c>
      <c r="C50" s="1">
        <v>45341</v>
      </c>
      <c r="D50" s="1" t="s">
        <v>261</v>
      </c>
      <c r="E50" s="9" t="s">
        <v>262</v>
      </c>
      <c r="F50" s="1" t="s">
        <v>265</v>
      </c>
    </row>
    <row r="51" spans="1:6" x14ac:dyDescent="0.25">
      <c r="A51" s="1">
        <v>50</v>
      </c>
      <c r="B51" s="1">
        <v>172</v>
      </c>
      <c r="C51" s="1">
        <v>45342</v>
      </c>
      <c r="D51" s="1" t="s">
        <v>261</v>
      </c>
      <c r="E51" s="9" t="s">
        <v>262</v>
      </c>
      <c r="F51" s="1" t="s">
        <v>265</v>
      </c>
    </row>
    <row r="52" spans="1:6" x14ac:dyDescent="0.25">
      <c r="A52" s="1">
        <v>51</v>
      </c>
      <c r="B52" s="1">
        <v>124</v>
      </c>
      <c r="C52" s="1">
        <v>45343</v>
      </c>
      <c r="D52" s="1" t="s">
        <v>261</v>
      </c>
      <c r="E52" s="9" t="s">
        <v>262</v>
      </c>
      <c r="F52" s="1" t="s">
        <v>265</v>
      </c>
    </row>
    <row r="53" spans="1:6" x14ac:dyDescent="0.25">
      <c r="A53" s="1">
        <v>52</v>
      </c>
      <c r="B53" s="1">
        <v>34</v>
      </c>
      <c r="C53" s="1">
        <v>45344</v>
      </c>
      <c r="D53" s="1" t="s">
        <v>261</v>
      </c>
      <c r="E53" s="9" t="s">
        <v>262</v>
      </c>
      <c r="F53" s="1" t="s">
        <v>263</v>
      </c>
    </row>
    <row r="54" spans="1:6" x14ac:dyDescent="0.25">
      <c r="A54" s="1">
        <v>53</v>
      </c>
      <c r="B54" s="1">
        <v>163</v>
      </c>
      <c r="C54" s="1">
        <v>45345</v>
      </c>
      <c r="D54" s="1" t="s">
        <v>261</v>
      </c>
      <c r="E54" s="9" t="s">
        <v>262</v>
      </c>
      <c r="F54" s="1" t="s">
        <v>266</v>
      </c>
    </row>
    <row r="55" spans="1:6" x14ac:dyDescent="0.25">
      <c r="A55" s="1">
        <v>54</v>
      </c>
      <c r="B55" s="1">
        <v>98</v>
      </c>
      <c r="C55" s="1">
        <v>45346</v>
      </c>
      <c r="D55" s="1" t="s">
        <v>261</v>
      </c>
      <c r="E55" s="9" t="s">
        <v>262</v>
      </c>
      <c r="F55" s="1" t="s">
        <v>266</v>
      </c>
    </row>
    <row r="56" spans="1:6" x14ac:dyDescent="0.25">
      <c r="A56" s="1">
        <v>55</v>
      </c>
      <c r="B56" s="1">
        <v>55</v>
      </c>
      <c r="C56" s="1">
        <v>45347</v>
      </c>
      <c r="D56" s="1" t="s">
        <v>261</v>
      </c>
      <c r="E56" s="9" t="s">
        <v>262</v>
      </c>
      <c r="F56" s="1" t="s">
        <v>266</v>
      </c>
    </row>
    <row r="57" spans="1:6" x14ac:dyDescent="0.25">
      <c r="A57" s="1">
        <v>56</v>
      </c>
      <c r="B57" s="1">
        <v>17</v>
      </c>
      <c r="C57" s="1">
        <v>45348</v>
      </c>
      <c r="D57" s="1" t="s">
        <v>261</v>
      </c>
      <c r="E57" s="9" t="s">
        <v>262</v>
      </c>
      <c r="F57" s="1" t="s">
        <v>266</v>
      </c>
    </row>
    <row r="58" spans="1:6" x14ac:dyDescent="0.25">
      <c r="A58" s="1">
        <v>57</v>
      </c>
      <c r="B58" s="1">
        <v>133</v>
      </c>
      <c r="C58" s="1">
        <v>45349</v>
      </c>
      <c r="D58" s="1" t="s">
        <v>261</v>
      </c>
      <c r="E58" s="9" t="s">
        <v>262</v>
      </c>
      <c r="F58" s="1" t="s">
        <v>263</v>
      </c>
    </row>
    <row r="59" spans="1:6" x14ac:dyDescent="0.25">
      <c r="A59" s="1">
        <v>58</v>
      </c>
      <c r="B59" s="1">
        <v>2</v>
      </c>
      <c r="C59" s="1">
        <v>45350</v>
      </c>
      <c r="D59" s="1" t="s">
        <v>261</v>
      </c>
      <c r="E59" s="9" t="s">
        <v>262</v>
      </c>
      <c r="F59" s="1" t="s">
        <v>266</v>
      </c>
    </row>
    <row r="60" spans="1:6" x14ac:dyDescent="0.25">
      <c r="A60" s="1">
        <v>59</v>
      </c>
      <c r="B60" s="1">
        <v>7</v>
      </c>
      <c r="C60" s="1">
        <v>45351</v>
      </c>
      <c r="D60" s="1" t="s">
        <v>261</v>
      </c>
      <c r="E60" s="9" t="s">
        <v>262</v>
      </c>
      <c r="F60" s="1" t="s">
        <v>265</v>
      </c>
    </row>
    <row r="61" spans="1:6" x14ac:dyDescent="0.25">
      <c r="A61" s="1">
        <v>60</v>
      </c>
      <c r="B61" s="1">
        <v>118</v>
      </c>
      <c r="C61" s="1">
        <v>45352</v>
      </c>
      <c r="D61" s="1" t="s">
        <v>261</v>
      </c>
      <c r="E61" s="9" t="s">
        <v>262</v>
      </c>
      <c r="F61" s="1" t="s">
        <v>265</v>
      </c>
    </row>
    <row r="62" spans="1:6" x14ac:dyDescent="0.25">
      <c r="A62" s="1">
        <v>61</v>
      </c>
      <c r="B62" s="1">
        <v>142</v>
      </c>
      <c r="C62" s="1">
        <v>45353</v>
      </c>
      <c r="D62" s="1" t="s">
        <v>261</v>
      </c>
      <c r="E62" s="9" t="s">
        <v>262</v>
      </c>
      <c r="F62" s="1" t="s">
        <v>264</v>
      </c>
    </row>
    <row r="63" spans="1:6" x14ac:dyDescent="0.25">
      <c r="A63" s="1">
        <v>62</v>
      </c>
      <c r="B63" s="1">
        <v>128</v>
      </c>
      <c r="C63" s="1">
        <v>45354</v>
      </c>
      <c r="D63" s="1" t="s">
        <v>261</v>
      </c>
      <c r="E63" s="9" t="s">
        <v>262</v>
      </c>
      <c r="F63" s="1" t="s">
        <v>265</v>
      </c>
    </row>
    <row r="64" spans="1:6" x14ac:dyDescent="0.25">
      <c r="A64" s="1">
        <v>63</v>
      </c>
      <c r="B64" s="1">
        <v>89</v>
      </c>
      <c r="C64" s="1">
        <v>45355</v>
      </c>
      <c r="D64" s="1" t="s">
        <v>261</v>
      </c>
      <c r="E64" s="9" t="s">
        <v>262</v>
      </c>
      <c r="F64" s="1" t="s">
        <v>263</v>
      </c>
    </row>
    <row r="65" spans="1:6" x14ac:dyDescent="0.25">
      <c r="A65" s="1">
        <v>64</v>
      </c>
      <c r="B65" s="1">
        <v>134</v>
      </c>
      <c r="C65" s="1">
        <v>45356</v>
      </c>
      <c r="D65" s="1" t="s">
        <v>261</v>
      </c>
      <c r="E65" s="9" t="s">
        <v>262</v>
      </c>
      <c r="F65" s="1" t="s">
        <v>263</v>
      </c>
    </row>
    <row r="66" spans="1:6" x14ac:dyDescent="0.25">
      <c r="A66" s="1">
        <v>65</v>
      </c>
      <c r="B66" s="1">
        <v>114</v>
      </c>
      <c r="C66" s="1">
        <v>45357</v>
      </c>
      <c r="D66" s="1" t="s">
        <v>261</v>
      </c>
      <c r="E66" s="9" t="s">
        <v>262</v>
      </c>
      <c r="F66" s="1" t="s">
        <v>263</v>
      </c>
    </row>
    <row r="67" spans="1:6" x14ac:dyDescent="0.25">
      <c r="A67" s="1">
        <v>66</v>
      </c>
      <c r="B67" s="1">
        <v>194</v>
      </c>
      <c r="C67" s="1">
        <v>45358</v>
      </c>
      <c r="D67" s="1" t="s">
        <v>261</v>
      </c>
      <c r="E67" s="9" t="s">
        <v>262</v>
      </c>
      <c r="F67" s="1" t="s">
        <v>263</v>
      </c>
    </row>
    <row r="68" spans="1:6" x14ac:dyDescent="0.25">
      <c r="A68" s="1">
        <v>67</v>
      </c>
      <c r="B68" s="1">
        <v>161</v>
      </c>
      <c r="C68" s="1">
        <v>45359</v>
      </c>
      <c r="D68" s="1" t="s">
        <v>261</v>
      </c>
      <c r="E68" s="9" t="s">
        <v>262</v>
      </c>
      <c r="F68" s="1" t="s">
        <v>265</v>
      </c>
    </row>
    <row r="69" spans="1:6" x14ac:dyDescent="0.25">
      <c r="A69" s="1">
        <v>68</v>
      </c>
      <c r="B69" s="1">
        <v>53</v>
      </c>
      <c r="C69" s="1">
        <v>45360</v>
      </c>
      <c r="D69" s="1" t="s">
        <v>261</v>
      </c>
      <c r="E69" s="9" t="s">
        <v>262</v>
      </c>
      <c r="F69" s="1" t="s">
        <v>264</v>
      </c>
    </row>
    <row r="70" spans="1:6" x14ac:dyDescent="0.25">
      <c r="A70" s="1">
        <v>69</v>
      </c>
      <c r="B70" s="1">
        <v>83</v>
      </c>
      <c r="C70" s="1">
        <v>45361</v>
      </c>
      <c r="D70" s="1" t="s">
        <v>261</v>
      </c>
      <c r="E70" s="9" t="s">
        <v>262</v>
      </c>
      <c r="F70" s="1" t="s">
        <v>265</v>
      </c>
    </row>
    <row r="71" spans="1:6" x14ac:dyDescent="0.25">
      <c r="A71" s="1">
        <v>70</v>
      </c>
      <c r="B71" s="1">
        <v>188</v>
      </c>
      <c r="C71" s="1">
        <v>45362</v>
      </c>
      <c r="D71" s="1" t="s">
        <v>261</v>
      </c>
      <c r="E71" s="9" t="s">
        <v>262</v>
      </c>
      <c r="F71" s="1" t="s">
        <v>266</v>
      </c>
    </row>
    <row r="72" spans="1:6" x14ac:dyDescent="0.25">
      <c r="A72" s="1">
        <v>71</v>
      </c>
      <c r="B72" s="1">
        <v>111</v>
      </c>
      <c r="C72" s="1">
        <v>45363</v>
      </c>
      <c r="D72" s="1" t="s">
        <v>261</v>
      </c>
      <c r="E72" s="9" t="s">
        <v>262</v>
      </c>
      <c r="F72" s="1" t="s">
        <v>263</v>
      </c>
    </row>
    <row r="73" spans="1:6" x14ac:dyDescent="0.25">
      <c r="A73" s="1">
        <v>72</v>
      </c>
      <c r="B73" s="1">
        <v>65</v>
      </c>
      <c r="C73" s="1">
        <v>45364</v>
      </c>
      <c r="D73" s="1" t="s">
        <v>261</v>
      </c>
      <c r="E73" s="9" t="s">
        <v>262</v>
      </c>
      <c r="F73" s="1" t="s">
        <v>263</v>
      </c>
    </row>
    <row r="74" spans="1:6" x14ac:dyDescent="0.25">
      <c r="A74" s="1">
        <v>73</v>
      </c>
      <c r="B74" s="1">
        <v>78</v>
      </c>
      <c r="C74" s="1">
        <v>45365</v>
      </c>
      <c r="D74" s="1" t="s">
        <v>261</v>
      </c>
      <c r="E74" s="9" t="s">
        <v>262</v>
      </c>
      <c r="F74" s="1" t="s">
        <v>263</v>
      </c>
    </row>
    <row r="75" spans="1:6" x14ac:dyDescent="0.25">
      <c r="A75" s="1">
        <v>74</v>
      </c>
      <c r="B75" s="1">
        <v>55</v>
      </c>
      <c r="C75" s="1">
        <v>45366</v>
      </c>
      <c r="D75" s="1" t="s">
        <v>261</v>
      </c>
      <c r="E75" s="9" t="s">
        <v>262</v>
      </c>
      <c r="F75" s="1" t="s">
        <v>266</v>
      </c>
    </row>
    <row r="76" spans="1:6" x14ac:dyDescent="0.25">
      <c r="A76" s="1">
        <v>75</v>
      </c>
      <c r="B76" s="1">
        <v>97</v>
      </c>
      <c r="C76" s="1">
        <v>45367</v>
      </c>
      <c r="D76" s="1" t="s">
        <v>261</v>
      </c>
      <c r="E76" s="9" t="s">
        <v>262</v>
      </c>
      <c r="F76" s="1" t="s">
        <v>263</v>
      </c>
    </row>
    <row r="77" spans="1:6" x14ac:dyDescent="0.25">
      <c r="A77" s="1">
        <v>76</v>
      </c>
      <c r="B77" s="1">
        <v>90</v>
      </c>
      <c r="C77" s="1">
        <v>45368</v>
      </c>
      <c r="D77" s="1" t="s">
        <v>261</v>
      </c>
      <c r="E77" s="9" t="s">
        <v>262</v>
      </c>
      <c r="F77" s="1" t="s">
        <v>264</v>
      </c>
    </row>
    <row r="78" spans="1:6" x14ac:dyDescent="0.25">
      <c r="A78" s="1">
        <v>77</v>
      </c>
      <c r="B78" s="1">
        <v>100</v>
      </c>
      <c r="C78" s="1">
        <v>45369</v>
      </c>
      <c r="D78" s="1" t="s">
        <v>261</v>
      </c>
      <c r="E78" s="9" t="s">
        <v>262</v>
      </c>
      <c r="F78" s="1" t="s">
        <v>263</v>
      </c>
    </row>
    <row r="79" spans="1:6" x14ac:dyDescent="0.25">
      <c r="A79" s="1">
        <v>78</v>
      </c>
      <c r="B79" s="1">
        <v>148</v>
      </c>
      <c r="C79" s="1">
        <v>45370</v>
      </c>
      <c r="D79" s="1" t="s">
        <v>261</v>
      </c>
      <c r="E79" s="9" t="s">
        <v>262</v>
      </c>
      <c r="F79" s="1" t="s">
        <v>263</v>
      </c>
    </row>
    <row r="80" spans="1:6" x14ac:dyDescent="0.25">
      <c r="A80" s="1">
        <v>79</v>
      </c>
      <c r="B80" s="1">
        <v>138</v>
      </c>
      <c r="C80" s="1">
        <v>45371</v>
      </c>
      <c r="D80" s="1" t="s">
        <v>261</v>
      </c>
      <c r="E80" s="9" t="s">
        <v>262</v>
      </c>
      <c r="F80" s="1" t="s">
        <v>264</v>
      </c>
    </row>
    <row r="81" spans="1:6" x14ac:dyDescent="0.25">
      <c r="A81" s="1">
        <v>80</v>
      </c>
      <c r="B81" s="1">
        <v>142</v>
      </c>
      <c r="C81" s="1">
        <v>45372</v>
      </c>
      <c r="D81" s="1" t="s">
        <v>261</v>
      </c>
      <c r="E81" s="9" t="s">
        <v>262</v>
      </c>
      <c r="F81" s="1" t="s">
        <v>264</v>
      </c>
    </row>
    <row r="82" spans="1:6" x14ac:dyDescent="0.25">
      <c r="A82" s="1"/>
      <c r="B82" s="1"/>
      <c r="C82" s="1"/>
      <c r="D82" s="1"/>
      <c r="E82" s="9"/>
      <c r="F82" s="1"/>
    </row>
    <row r="83" spans="1:6" x14ac:dyDescent="0.25">
      <c r="A83" s="1"/>
      <c r="B83" s="1"/>
      <c r="C83" s="1"/>
      <c r="D83" s="1"/>
      <c r="E83" s="9"/>
      <c r="F83" s="1"/>
    </row>
    <row r="84" spans="1:6" x14ac:dyDescent="0.25">
      <c r="A84" s="1"/>
      <c r="B84" s="1"/>
      <c r="C84" s="1"/>
      <c r="D84" s="1"/>
      <c r="E84" s="9"/>
      <c r="F84" s="1"/>
    </row>
    <row r="85" spans="1:6" x14ac:dyDescent="0.25">
      <c r="A85" s="1"/>
      <c r="B85" s="1"/>
      <c r="C85" s="1"/>
      <c r="D85" s="1"/>
      <c r="E85" s="9"/>
      <c r="F85" s="1"/>
    </row>
    <row r="86" spans="1:6" x14ac:dyDescent="0.25">
      <c r="A86" s="1"/>
      <c r="B86" s="1"/>
      <c r="C86" s="1"/>
      <c r="D86" s="1"/>
      <c r="E86" s="9"/>
      <c r="F86" s="1"/>
    </row>
    <row r="87" spans="1:6" x14ac:dyDescent="0.25">
      <c r="A87" s="1"/>
      <c r="B87" s="1"/>
      <c r="C87" s="1"/>
      <c r="D87" s="1"/>
      <c r="E87" s="9"/>
      <c r="F87" s="1"/>
    </row>
    <row r="88" spans="1:6" x14ac:dyDescent="0.25">
      <c r="A88" s="1"/>
      <c r="B88" s="1"/>
      <c r="C88" s="1"/>
      <c r="D88" s="1"/>
      <c r="E88" s="9"/>
      <c r="F88" s="1"/>
    </row>
    <row r="89" spans="1:6" x14ac:dyDescent="0.25">
      <c r="A89" s="1"/>
      <c r="B89" s="1"/>
      <c r="C89" s="1"/>
      <c r="D89" s="1"/>
      <c r="E89" s="9"/>
      <c r="F89" s="1"/>
    </row>
    <row r="90" spans="1:6" x14ac:dyDescent="0.25">
      <c r="A90" s="1"/>
      <c r="B90" s="1"/>
      <c r="C90" s="1"/>
      <c r="D90" s="1"/>
      <c r="E90" s="9"/>
      <c r="F90" s="1"/>
    </row>
    <row r="91" spans="1:6" x14ac:dyDescent="0.25">
      <c r="A91" s="1"/>
      <c r="B91" s="1"/>
      <c r="C91" s="1"/>
      <c r="D91" s="1"/>
      <c r="E91" s="9"/>
      <c r="F91" s="1"/>
    </row>
    <row r="92" spans="1:6" x14ac:dyDescent="0.25">
      <c r="A92" s="1"/>
      <c r="B92" s="1"/>
      <c r="C92" s="1"/>
      <c r="D92" s="1"/>
      <c r="E92" s="9"/>
      <c r="F92" s="1"/>
    </row>
    <row r="93" spans="1:6" x14ac:dyDescent="0.25">
      <c r="A93" s="1"/>
      <c r="B93" s="1"/>
      <c r="C93" s="1"/>
      <c r="D93" s="1"/>
      <c r="E93" s="9"/>
      <c r="F93" s="1"/>
    </row>
    <row r="94" spans="1:6" x14ac:dyDescent="0.25">
      <c r="A94" s="1"/>
      <c r="B94" s="1"/>
      <c r="C94" s="1"/>
      <c r="D94" s="1"/>
      <c r="E94" s="9"/>
      <c r="F94" s="1"/>
    </row>
    <row r="95" spans="1:6" x14ac:dyDescent="0.25">
      <c r="A95" s="1"/>
      <c r="B95" s="1"/>
      <c r="C95" s="1"/>
      <c r="D95" s="1"/>
      <c r="E95" s="9"/>
      <c r="F95" s="1"/>
    </row>
    <row r="96" spans="1:6" x14ac:dyDescent="0.25">
      <c r="A96" s="1"/>
      <c r="B96" s="1"/>
      <c r="C96" s="1"/>
      <c r="D96" s="1"/>
      <c r="E96" s="9"/>
      <c r="F96" s="1"/>
    </row>
    <row r="97" spans="1:6" x14ac:dyDescent="0.25">
      <c r="A97" s="1"/>
      <c r="B97" s="1"/>
      <c r="C97" s="1"/>
      <c r="D97" s="1"/>
      <c r="E97" s="9"/>
      <c r="F97" s="1"/>
    </row>
    <row r="98" spans="1:6" x14ac:dyDescent="0.25">
      <c r="A98" s="1"/>
      <c r="B98" s="1"/>
      <c r="C98" s="1"/>
      <c r="D98" s="1"/>
      <c r="E98" s="9"/>
      <c r="F98" s="1"/>
    </row>
    <row r="99" spans="1:6" x14ac:dyDescent="0.25">
      <c r="A99" s="1"/>
      <c r="B99" s="1"/>
      <c r="C99" s="1"/>
      <c r="D99" s="1"/>
      <c r="E99" s="9"/>
      <c r="F99" s="1"/>
    </row>
    <row r="100" spans="1:6" x14ac:dyDescent="0.25">
      <c r="A100" s="1"/>
      <c r="B100" s="1"/>
      <c r="C100" s="1"/>
      <c r="D100" s="1"/>
      <c r="E100" s="9"/>
      <c r="F100" s="1"/>
    </row>
    <row r="101" spans="1:6" x14ac:dyDescent="0.25">
      <c r="A101" s="1"/>
      <c r="B101" s="1"/>
      <c r="C101" s="1"/>
      <c r="D101" s="1"/>
      <c r="E101" s="9"/>
      <c r="F101" s="1"/>
    </row>
    <row r="102" spans="1:6" x14ac:dyDescent="0.25">
      <c r="A102" s="1"/>
      <c r="B102" s="1"/>
      <c r="C102" s="1"/>
      <c r="D102" s="1"/>
      <c r="E102" s="9"/>
      <c r="F102" s="1"/>
    </row>
    <row r="103" spans="1:6" x14ac:dyDescent="0.25">
      <c r="A103" s="1"/>
      <c r="B103" s="1"/>
      <c r="C103" s="1"/>
      <c r="D103" s="1"/>
      <c r="E103" s="9"/>
      <c r="F103" s="1"/>
    </row>
    <row r="104" spans="1:6" x14ac:dyDescent="0.25">
      <c r="A104" s="1"/>
      <c r="B104" s="1"/>
      <c r="C104" s="1"/>
      <c r="D104" s="1"/>
      <c r="E104" s="9"/>
      <c r="F104" s="1"/>
    </row>
    <row r="105" spans="1:6" x14ac:dyDescent="0.25">
      <c r="A105" s="1"/>
      <c r="B105" s="1"/>
      <c r="C105" s="1"/>
      <c r="D105" s="1"/>
      <c r="E105" s="9"/>
      <c r="F105" s="1"/>
    </row>
    <row r="106" spans="1:6" x14ac:dyDescent="0.25">
      <c r="A106" s="1"/>
      <c r="B106" s="1"/>
      <c r="C106" s="1"/>
      <c r="D106" s="1"/>
      <c r="E106" s="9"/>
      <c r="F106" s="1"/>
    </row>
    <row r="107" spans="1:6" x14ac:dyDescent="0.25">
      <c r="A107" s="1"/>
      <c r="B107" s="1"/>
      <c r="C107" s="1"/>
      <c r="D107" s="1"/>
      <c r="E107" s="9"/>
      <c r="F107" s="1"/>
    </row>
    <row r="108" spans="1:6" x14ac:dyDescent="0.25">
      <c r="A108" s="1"/>
      <c r="B108" s="1"/>
      <c r="C108" s="1"/>
      <c r="D108" s="1"/>
      <c r="E108" s="9"/>
      <c r="F108" s="1"/>
    </row>
    <row r="109" spans="1:6" x14ac:dyDescent="0.25">
      <c r="A109" s="1"/>
      <c r="B109" s="1"/>
      <c r="C109" s="1"/>
      <c r="D109" s="1"/>
      <c r="E109" s="9"/>
      <c r="F109" s="1"/>
    </row>
    <row r="110" spans="1:6" x14ac:dyDescent="0.25">
      <c r="A110" s="1"/>
      <c r="B110" s="1"/>
      <c r="C110" s="1"/>
      <c r="D110" s="1"/>
      <c r="E110" s="9"/>
      <c r="F110" s="1"/>
    </row>
    <row r="111" spans="1:6" x14ac:dyDescent="0.25">
      <c r="A111" s="1"/>
      <c r="B111" s="1"/>
      <c r="C111" s="1"/>
      <c r="D111" s="1"/>
      <c r="E111" s="9"/>
      <c r="F111" s="1"/>
    </row>
    <row r="112" spans="1:6" x14ac:dyDescent="0.25">
      <c r="A112" s="1"/>
      <c r="B112" s="1"/>
      <c r="C112" s="1"/>
      <c r="D112" s="1"/>
      <c r="E112" s="9"/>
      <c r="F112" s="1"/>
    </row>
    <row r="113" spans="1:6" x14ac:dyDescent="0.25">
      <c r="A113" s="1"/>
      <c r="B113" s="1"/>
      <c r="C113" s="1"/>
      <c r="D113" s="1"/>
      <c r="E113" s="9"/>
      <c r="F113" s="1"/>
    </row>
    <row r="114" spans="1:6" x14ac:dyDescent="0.25">
      <c r="A114" s="1"/>
      <c r="B114" s="1"/>
      <c r="C114" s="1"/>
      <c r="D114" s="1"/>
      <c r="E114" s="9"/>
      <c r="F114" s="1"/>
    </row>
    <row r="115" spans="1:6" x14ac:dyDescent="0.25">
      <c r="A115" s="1"/>
      <c r="B115" s="1"/>
      <c r="C115" s="1"/>
      <c r="D115" s="1"/>
      <c r="E115" s="9"/>
      <c r="F115" s="1"/>
    </row>
    <row r="116" spans="1:6" x14ac:dyDescent="0.25">
      <c r="A116" s="1"/>
      <c r="B116" s="1"/>
      <c r="C116" s="1"/>
      <c r="D116" s="1"/>
      <c r="E116" s="9"/>
      <c r="F116" s="1"/>
    </row>
    <row r="117" spans="1:6" x14ac:dyDescent="0.25">
      <c r="A117" s="1"/>
      <c r="B117" s="1"/>
      <c r="C117" s="1"/>
      <c r="D117" s="1"/>
      <c r="E117" s="9"/>
      <c r="F117" s="1"/>
    </row>
    <row r="118" spans="1:6" x14ac:dyDescent="0.25">
      <c r="A118" s="1"/>
      <c r="B118" s="1"/>
      <c r="C118" s="1"/>
      <c r="D118" s="1"/>
      <c r="E118" s="9"/>
      <c r="F118" s="1"/>
    </row>
    <row r="119" spans="1:6" x14ac:dyDescent="0.25">
      <c r="A119" s="1"/>
      <c r="B119" s="1"/>
      <c r="C119" s="1"/>
      <c r="D119" s="1"/>
      <c r="E119" s="9"/>
      <c r="F119" s="1"/>
    </row>
    <row r="120" spans="1:6" x14ac:dyDescent="0.25">
      <c r="A120" s="1"/>
      <c r="B120" s="1"/>
      <c r="C120" s="1"/>
      <c r="D120" s="1"/>
      <c r="E120" s="9"/>
      <c r="F120" s="1"/>
    </row>
    <row r="121" spans="1:6" x14ac:dyDescent="0.25">
      <c r="A121" s="1"/>
      <c r="B121" s="1"/>
      <c r="C121" s="1"/>
      <c r="D121" s="1"/>
      <c r="E121" s="9"/>
      <c r="F121" s="1"/>
    </row>
    <row r="122" spans="1:6" x14ac:dyDescent="0.25">
      <c r="A122" s="1"/>
      <c r="B122" s="1"/>
      <c r="C122" s="1"/>
      <c r="D122" s="1"/>
      <c r="E122" s="9"/>
      <c r="F122" s="1"/>
    </row>
    <row r="123" spans="1:6" x14ac:dyDescent="0.25">
      <c r="A123" s="1"/>
      <c r="B123" s="1"/>
      <c r="C123" s="1"/>
      <c r="D123" s="1"/>
      <c r="E123" s="9"/>
      <c r="F123" s="1"/>
    </row>
    <row r="124" spans="1:6" x14ac:dyDescent="0.25">
      <c r="A124" s="1"/>
      <c r="B124" s="1"/>
      <c r="C124" s="1"/>
      <c r="D124" s="1"/>
      <c r="E124" s="9"/>
      <c r="F124" s="1"/>
    </row>
    <row r="125" spans="1:6" x14ac:dyDescent="0.25">
      <c r="A125" s="1"/>
      <c r="B125" s="1"/>
      <c r="C125" s="1"/>
      <c r="D125" s="1"/>
      <c r="E125" s="9"/>
      <c r="F125" s="1"/>
    </row>
    <row r="126" spans="1:6" x14ac:dyDescent="0.25">
      <c r="A126" s="1"/>
      <c r="B126" s="1"/>
      <c r="C126" s="1"/>
      <c r="D126" s="1"/>
      <c r="E126" s="9"/>
      <c r="F126" s="1"/>
    </row>
    <row r="127" spans="1:6" x14ac:dyDescent="0.25">
      <c r="A127" s="1"/>
      <c r="B127" s="1"/>
      <c r="C127" s="1"/>
      <c r="D127" s="1"/>
      <c r="E127" s="9"/>
      <c r="F127" s="1"/>
    </row>
    <row r="128" spans="1:6" x14ac:dyDescent="0.25">
      <c r="A128" s="1"/>
      <c r="B128" s="1"/>
      <c r="C128" s="1"/>
      <c r="D128" s="1"/>
      <c r="E128" s="9"/>
      <c r="F128" s="1"/>
    </row>
    <row r="129" spans="1:6" x14ac:dyDescent="0.25">
      <c r="A129" s="1"/>
      <c r="B129" s="1"/>
      <c r="C129" s="1"/>
      <c r="D129" s="1"/>
      <c r="E129" s="9"/>
      <c r="F129" s="1"/>
    </row>
    <row r="130" spans="1:6" x14ac:dyDescent="0.25">
      <c r="A130" s="1"/>
      <c r="B130" s="1"/>
      <c r="C130" s="1"/>
      <c r="D130" s="1"/>
      <c r="E130" s="9"/>
      <c r="F130" s="1"/>
    </row>
    <row r="131" spans="1:6" x14ac:dyDescent="0.25">
      <c r="A131" s="1"/>
      <c r="B131" s="1"/>
      <c r="C131" s="1"/>
      <c r="D131" s="1"/>
      <c r="E131" s="9"/>
      <c r="F131" s="1"/>
    </row>
    <row r="132" spans="1:6" x14ac:dyDescent="0.25">
      <c r="A132" s="1"/>
      <c r="B132" s="1"/>
      <c r="C132" s="1"/>
      <c r="D132" s="1"/>
      <c r="E132" s="9"/>
      <c r="F132" s="1"/>
    </row>
    <row r="133" spans="1:6" x14ac:dyDescent="0.25">
      <c r="A133" s="1"/>
      <c r="B133" s="1"/>
      <c r="C133" s="1"/>
      <c r="D133" s="1"/>
      <c r="E133" s="9"/>
      <c r="F133" s="1"/>
    </row>
    <row r="134" spans="1:6" x14ac:dyDescent="0.25">
      <c r="A134" s="1"/>
      <c r="B134" s="1"/>
      <c r="C134" s="1"/>
      <c r="D134" s="1"/>
      <c r="E134" s="9"/>
      <c r="F134" s="1"/>
    </row>
    <row r="135" spans="1:6" x14ac:dyDescent="0.25">
      <c r="A135" s="1"/>
      <c r="B135" s="1"/>
      <c r="C135" s="1"/>
      <c r="D135" s="1"/>
      <c r="E135" s="9"/>
      <c r="F135" s="1"/>
    </row>
    <row r="136" spans="1:6" x14ac:dyDescent="0.25">
      <c r="A136" s="1"/>
      <c r="B136" s="1"/>
      <c r="C136" s="1"/>
      <c r="D136" s="1"/>
      <c r="E136" s="9"/>
      <c r="F136" s="1"/>
    </row>
    <row r="137" spans="1:6" x14ac:dyDescent="0.25">
      <c r="A137" s="1"/>
      <c r="B137" s="1"/>
      <c r="C137" s="1"/>
      <c r="D137" s="1"/>
      <c r="E137" s="9"/>
      <c r="F137" s="1"/>
    </row>
    <row r="138" spans="1:6" x14ac:dyDescent="0.25">
      <c r="A138" s="1"/>
      <c r="B138" s="1"/>
      <c r="C138" s="1"/>
      <c r="D138" s="1"/>
      <c r="E138" s="9"/>
      <c r="F138" s="1"/>
    </row>
    <row r="139" spans="1:6" x14ac:dyDescent="0.25">
      <c r="A139" s="1"/>
      <c r="B139" s="1"/>
      <c r="C139" s="1"/>
      <c r="D139" s="1"/>
      <c r="E139" s="9"/>
      <c r="F139" s="1"/>
    </row>
    <row r="140" spans="1:6" x14ac:dyDescent="0.25">
      <c r="A140" s="1"/>
      <c r="B140" s="1"/>
      <c r="C140" s="1"/>
      <c r="D140" s="1"/>
      <c r="E140" s="9"/>
      <c r="F140" s="1"/>
    </row>
    <row r="141" spans="1:6" x14ac:dyDescent="0.25">
      <c r="A141" s="1"/>
      <c r="B141" s="1"/>
      <c r="C141" s="1"/>
      <c r="D141" s="1"/>
      <c r="E141" s="9"/>
      <c r="F141" s="1"/>
    </row>
    <row r="142" spans="1:6" x14ac:dyDescent="0.25">
      <c r="A142" s="1"/>
      <c r="B142" s="1"/>
      <c r="C142" s="1"/>
      <c r="D142" s="1"/>
      <c r="E142" s="9"/>
      <c r="F142" s="1"/>
    </row>
    <row r="143" spans="1:6" x14ac:dyDescent="0.25">
      <c r="A143" s="1"/>
      <c r="B143" s="1"/>
      <c r="C143" s="1"/>
      <c r="D143" s="1"/>
      <c r="E143" s="9"/>
      <c r="F143" s="1"/>
    </row>
    <row r="144" spans="1:6" x14ac:dyDescent="0.25">
      <c r="A144" s="1"/>
      <c r="B144" s="1"/>
      <c r="C144" s="1"/>
      <c r="D144" s="1"/>
      <c r="E144" s="9"/>
      <c r="F144" s="1"/>
    </row>
    <row r="145" spans="1:6" x14ac:dyDescent="0.25">
      <c r="A145" s="1"/>
      <c r="B145" s="1"/>
      <c r="C145" s="1"/>
      <c r="D145" s="1"/>
      <c r="E145" s="9"/>
      <c r="F145" s="1"/>
    </row>
    <row r="146" spans="1:6" x14ac:dyDescent="0.25">
      <c r="A146" s="1"/>
      <c r="B146" s="1"/>
      <c r="C146" s="1"/>
      <c r="D146" s="1"/>
      <c r="E146" s="9"/>
      <c r="F146" s="1"/>
    </row>
    <row r="147" spans="1:6" x14ac:dyDescent="0.25">
      <c r="A147" s="1"/>
      <c r="B147" s="1"/>
      <c r="C147" s="1"/>
      <c r="D147" s="1"/>
      <c r="E147" s="9"/>
      <c r="F147" s="1"/>
    </row>
    <row r="148" spans="1:6" x14ac:dyDescent="0.25">
      <c r="A148" s="1"/>
      <c r="B148" s="1"/>
      <c r="C148" s="1"/>
      <c r="D148" s="1"/>
      <c r="E148" s="9"/>
      <c r="F148" s="1"/>
    </row>
    <row r="149" spans="1:6" x14ac:dyDescent="0.25">
      <c r="A149" s="1"/>
      <c r="B149" s="1"/>
      <c r="C149" s="1"/>
      <c r="D149" s="1"/>
      <c r="E149" s="9"/>
      <c r="F149" s="1"/>
    </row>
    <row r="150" spans="1:6" x14ac:dyDescent="0.25">
      <c r="A150" s="1"/>
      <c r="B150" s="1"/>
      <c r="C150" s="1"/>
      <c r="D150" s="1"/>
      <c r="E150" s="9"/>
      <c r="F150" s="1"/>
    </row>
    <row r="151" spans="1:6" x14ac:dyDescent="0.25">
      <c r="A151" s="1"/>
      <c r="B151" s="1"/>
      <c r="C151" s="1"/>
      <c r="D151" s="1"/>
      <c r="E151" s="9"/>
      <c r="F151" s="1"/>
    </row>
    <row r="152" spans="1:6" x14ac:dyDescent="0.25">
      <c r="A152" s="1"/>
      <c r="B152" s="1"/>
      <c r="C152" s="1"/>
      <c r="D152" s="1"/>
      <c r="E152" s="9"/>
      <c r="F152" s="1"/>
    </row>
    <row r="153" spans="1:6" x14ac:dyDescent="0.25">
      <c r="A153" s="1"/>
      <c r="B153" s="1"/>
      <c r="C153" s="1"/>
      <c r="D153" s="1"/>
      <c r="E153" s="9"/>
      <c r="F153" s="1"/>
    </row>
    <row r="154" spans="1:6" x14ac:dyDescent="0.25">
      <c r="A154" s="1"/>
      <c r="B154" s="1"/>
      <c r="C154" s="1"/>
      <c r="D154" s="1"/>
      <c r="E154" s="9"/>
      <c r="F154" s="1"/>
    </row>
    <row r="155" spans="1:6" x14ac:dyDescent="0.25">
      <c r="A155" s="1"/>
      <c r="B155" s="1"/>
      <c r="C155" s="1"/>
      <c r="D155" s="1"/>
      <c r="E155" s="9"/>
      <c r="F155" s="1"/>
    </row>
    <row r="156" spans="1:6" x14ac:dyDescent="0.25">
      <c r="A156" s="1"/>
      <c r="B156" s="1"/>
      <c r="C156" s="1"/>
      <c r="D156" s="1"/>
      <c r="E156" s="9"/>
      <c r="F156" s="1"/>
    </row>
    <row r="157" spans="1:6" x14ac:dyDescent="0.25">
      <c r="A157" s="1"/>
      <c r="B157" s="1"/>
      <c r="C157" s="1"/>
      <c r="D157" s="1"/>
      <c r="E157" s="9"/>
      <c r="F157" s="1"/>
    </row>
    <row r="158" spans="1:6" x14ac:dyDescent="0.25">
      <c r="A158" s="1"/>
      <c r="B158" s="1"/>
      <c r="C158" s="1"/>
      <c r="D158" s="1"/>
      <c r="E158" s="9"/>
      <c r="F158" s="1"/>
    </row>
    <row r="159" spans="1:6" x14ac:dyDescent="0.25">
      <c r="A159" s="1"/>
      <c r="B159" s="1"/>
      <c r="C159" s="1"/>
      <c r="D159" s="1"/>
      <c r="E159" s="9"/>
      <c r="F159" s="1"/>
    </row>
    <row r="160" spans="1:6" x14ac:dyDescent="0.25">
      <c r="A160" s="1"/>
      <c r="B160" s="1"/>
      <c r="C160" s="1"/>
      <c r="D160" s="1"/>
      <c r="E160" s="9"/>
      <c r="F160" s="1"/>
    </row>
    <row r="161" spans="1:6" x14ac:dyDescent="0.25">
      <c r="A161" s="1"/>
      <c r="B161" s="1"/>
      <c r="C161" s="1"/>
      <c r="D161" s="1"/>
      <c r="E161" s="9"/>
      <c r="F161" s="1"/>
    </row>
    <row r="162" spans="1:6" x14ac:dyDescent="0.25">
      <c r="A162" s="1"/>
      <c r="B162" s="1"/>
      <c r="C162" s="1"/>
      <c r="D162" s="1"/>
      <c r="E162" s="9"/>
      <c r="F162" s="1"/>
    </row>
    <row r="163" spans="1:6" x14ac:dyDescent="0.25">
      <c r="A163" s="1"/>
      <c r="B163" s="1"/>
      <c r="C163" s="1"/>
      <c r="D163" s="1"/>
      <c r="E163" s="9"/>
      <c r="F163" s="1"/>
    </row>
    <row r="164" spans="1:6" x14ac:dyDescent="0.25">
      <c r="A164" s="1"/>
      <c r="B164" s="1"/>
      <c r="C164" s="1"/>
      <c r="D164" s="1"/>
      <c r="E164" s="9"/>
      <c r="F164" s="1"/>
    </row>
    <row r="165" spans="1:6" x14ac:dyDescent="0.25">
      <c r="A165" s="1"/>
      <c r="B165" s="1"/>
      <c r="C165" s="1"/>
      <c r="D165" s="1"/>
      <c r="E165" s="9"/>
      <c r="F165" s="1"/>
    </row>
    <row r="166" spans="1:6" x14ac:dyDescent="0.25">
      <c r="A166" s="1"/>
      <c r="B166" s="1"/>
      <c r="C166" s="1"/>
      <c r="D166" s="1"/>
      <c r="E166" s="9"/>
      <c r="F166" s="1"/>
    </row>
    <row r="167" spans="1:6" x14ac:dyDescent="0.25">
      <c r="A167" s="1"/>
      <c r="B167" s="1"/>
      <c r="C167" s="1"/>
      <c r="D167" s="1"/>
      <c r="E167" s="9"/>
      <c r="F167" s="1"/>
    </row>
    <row r="168" spans="1:6" x14ac:dyDescent="0.25">
      <c r="A168" s="1"/>
      <c r="B168" s="1"/>
      <c r="C168" s="1"/>
      <c r="D168" s="1"/>
      <c r="E168" s="9"/>
      <c r="F168" s="1"/>
    </row>
    <row r="169" spans="1:6" x14ac:dyDescent="0.25">
      <c r="A169" s="1"/>
      <c r="B169" s="1"/>
      <c r="C169" s="1"/>
      <c r="D169" s="1"/>
      <c r="E169" s="9"/>
      <c r="F169" s="1"/>
    </row>
    <row r="170" spans="1:6" x14ac:dyDescent="0.25">
      <c r="A170" s="1"/>
      <c r="B170" s="1"/>
      <c r="C170" s="1"/>
      <c r="D170" s="1"/>
      <c r="E170" s="9"/>
      <c r="F170" s="1"/>
    </row>
    <row r="171" spans="1:6" x14ac:dyDescent="0.25">
      <c r="A171" s="1"/>
      <c r="B171" s="1"/>
      <c r="C171" s="1"/>
      <c r="D171" s="1"/>
      <c r="E171" s="9"/>
      <c r="F171" s="1"/>
    </row>
    <row r="172" spans="1:6" x14ac:dyDescent="0.25">
      <c r="A172" s="1"/>
      <c r="B172" s="1"/>
      <c r="C172" s="1"/>
      <c r="D172" s="1"/>
      <c r="E172" s="9"/>
      <c r="F172" s="1"/>
    </row>
    <row r="173" spans="1:6" x14ac:dyDescent="0.25">
      <c r="A173" s="1"/>
      <c r="B173" s="1"/>
      <c r="C173" s="1"/>
      <c r="D173" s="1"/>
      <c r="E173" s="9"/>
      <c r="F173" s="1"/>
    </row>
    <row r="174" spans="1:6" x14ac:dyDescent="0.25">
      <c r="A174" s="1"/>
      <c r="B174" s="1"/>
      <c r="C174" s="1"/>
      <c r="D174" s="1"/>
      <c r="E174" s="9"/>
      <c r="F174" s="1"/>
    </row>
    <row r="175" spans="1:6" x14ac:dyDescent="0.25">
      <c r="A175" s="1"/>
      <c r="B175" s="1"/>
      <c r="C175" s="1"/>
      <c r="D175" s="1"/>
      <c r="E175" s="9"/>
      <c r="F175" s="1"/>
    </row>
    <row r="176" spans="1:6" x14ac:dyDescent="0.25">
      <c r="A176" s="1"/>
      <c r="B176" s="1"/>
      <c r="C176" s="1"/>
      <c r="D176" s="1"/>
      <c r="E176" s="9"/>
      <c r="F176" s="1"/>
    </row>
    <row r="177" spans="1:6" x14ac:dyDescent="0.25">
      <c r="A177" s="1"/>
      <c r="B177" s="1"/>
      <c r="C177" s="1"/>
      <c r="D177" s="1"/>
      <c r="E177" s="9"/>
      <c r="F177" s="1"/>
    </row>
    <row r="178" spans="1:6" x14ac:dyDescent="0.25">
      <c r="A178" s="1"/>
      <c r="B178" s="1"/>
      <c r="C178" s="1"/>
      <c r="D178" s="1"/>
      <c r="E178" s="9"/>
      <c r="F178" s="1"/>
    </row>
    <row r="179" spans="1:6" x14ac:dyDescent="0.25">
      <c r="A179" s="1"/>
      <c r="B179" s="1"/>
      <c r="C179" s="1"/>
      <c r="D179" s="1"/>
      <c r="E179" s="9"/>
      <c r="F179" s="1"/>
    </row>
    <row r="180" spans="1:6" x14ac:dyDescent="0.25">
      <c r="A180" s="1"/>
      <c r="B180" s="1"/>
      <c r="C180" s="1"/>
      <c r="D180" s="1"/>
      <c r="E180" s="9"/>
      <c r="F180" s="1"/>
    </row>
    <row r="181" spans="1:6" x14ac:dyDescent="0.25">
      <c r="A181" s="1"/>
      <c r="B181" s="1"/>
      <c r="C181" s="1"/>
      <c r="D181" s="1"/>
      <c r="E181" s="9"/>
      <c r="F18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F19" sqref="F19"/>
    </sheetView>
  </sheetViews>
  <sheetFormatPr defaultRowHeight="15" x14ac:dyDescent="0.25"/>
  <cols>
    <col min="1" max="1" width="6.140625" bestFit="1" customWidth="1"/>
    <col min="2" max="2" width="19.7109375" customWidth="1"/>
    <col min="3" max="3" width="20.28515625" customWidth="1"/>
    <col min="4" max="4" width="34.7109375" bestFit="1" customWidth="1"/>
    <col min="5" max="5" width="38.5703125" customWidth="1"/>
  </cols>
  <sheetData>
    <row r="1" spans="1:5" x14ac:dyDescent="0.25">
      <c r="A1" s="7" t="s">
        <v>355</v>
      </c>
      <c r="B1" s="8" t="s">
        <v>267</v>
      </c>
      <c r="C1" s="8" t="s">
        <v>268</v>
      </c>
      <c r="D1" s="8" t="s">
        <v>269</v>
      </c>
      <c r="E1" s="8" t="s">
        <v>270</v>
      </c>
    </row>
    <row r="2" spans="1:5" ht="30" x14ac:dyDescent="0.25">
      <c r="A2" s="1">
        <v>1</v>
      </c>
      <c r="B2" s="10" t="s">
        <v>426</v>
      </c>
      <c r="C2" s="2" t="s">
        <v>271</v>
      </c>
      <c r="D2" s="2" t="s">
        <v>272</v>
      </c>
      <c r="E2" s="3" t="s">
        <v>301</v>
      </c>
    </row>
    <row r="3" spans="1:5" x14ac:dyDescent="0.25">
      <c r="A3" s="1">
        <v>2</v>
      </c>
      <c r="B3" s="2" t="s">
        <v>426</v>
      </c>
      <c r="C3" s="2" t="s">
        <v>273</v>
      </c>
      <c r="D3" s="2" t="s">
        <v>274</v>
      </c>
      <c r="E3" s="3" t="s">
        <v>302</v>
      </c>
    </row>
    <row r="4" spans="1:5" ht="30" x14ac:dyDescent="0.25">
      <c r="A4" s="1">
        <v>3</v>
      </c>
      <c r="B4" s="2" t="s">
        <v>426</v>
      </c>
      <c r="C4" s="2" t="s">
        <v>275</v>
      </c>
      <c r="D4" s="2" t="s">
        <v>276</v>
      </c>
      <c r="E4" s="3" t="s">
        <v>303</v>
      </c>
    </row>
    <row r="5" spans="1:5" x14ac:dyDescent="0.25">
      <c r="A5" s="1">
        <v>4</v>
      </c>
      <c r="B5" s="2" t="s">
        <v>426</v>
      </c>
      <c r="C5" s="2" t="s">
        <v>277</v>
      </c>
      <c r="D5" s="2" t="s">
        <v>278</v>
      </c>
      <c r="E5" s="3" t="s">
        <v>304</v>
      </c>
    </row>
    <row r="6" spans="1:5" x14ac:dyDescent="0.25">
      <c r="A6" s="1">
        <v>5</v>
      </c>
      <c r="B6" s="2" t="s">
        <v>426</v>
      </c>
      <c r="C6" s="2" t="s">
        <v>279</v>
      </c>
      <c r="D6" s="2" t="s">
        <v>280</v>
      </c>
      <c r="E6" s="3" t="s">
        <v>305</v>
      </c>
    </row>
    <row r="7" spans="1:5" x14ac:dyDescent="0.25">
      <c r="A7" s="1">
        <v>6</v>
      </c>
      <c r="B7" s="2" t="s">
        <v>426</v>
      </c>
      <c r="C7" s="2" t="s">
        <v>281</v>
      </c>
      <c r="D7" s="2" t="s">
        <v>282</v>
      </c>
      <c r="E7" s="3" t="s">
        <v>306</v>
      </c>
    </row>
    <row r="8" spans="1:5" x14ac:dyDescent="0.25">
      <c r="A8" s="1">
        <v>7</v>
      </c>
      <c r="B8" s="2" t="s">
        <v>426</v>
      </c>
      <c r="C8" s="2" t="s">
        <v>283</v>
      </c>
      <c r="D8" s="2" t="s">
        <v>284</v>
      </c>
      <c r="E8" s="3" t="s">
        <v>307</v>
      </c>
    </row>
    <row r="9" spans="1:5" x14ac:dyDescent="0.25">
      <c r="A9" s="1">
        <v>8</v>
      </c>
      <c r="B9" s="2" t="s">
        <v>426</v>
      </c>
      <c r="C9" s="2" t="s">
        <v>285</v>
      </c>
      <c r="D9" s="2" t="s">
        <v>286</v>
      </c>
      <c r="E9" s="3" t="s">
        <v>308</v>
      </c>
    </row>
    <row r="10" spans="1:5" x14ac:dyDescent="0.25">
      <c r="A10" s="1">
        <v>9</v>
      </c>
      <c r="B10" s="2" t="s">
        <v>426</v>
      </c>
      <c r="C10" s="2" t="s">
        <v>287</v>
      </c>
      <c r="D10" s="2" t="s">
        <v>288</v>
      </c>
      <c r="E10" s="3" t="s">
        <v>309</v>
      </c>
    </row>
    <row r="11" spans="1:5" x14ac:dyDescent="0.25">
      <c r="A11" s="1">
        <v>10</v>
      </c>
      <c r="B11" s="2" t="s">
        <v>426</v>
      </c>
      <c r="C11" s="2" t="s">
        <v>289</v>
      </c>
      <c r="D11" s="2" t="s">
        <v>290</v>
      </c>
      <c r="E11" s="3" t="s">
        <v>310</v>
      </c>
    </row>
    <row r="12" spans="1:5" x14ac:dyDescent="0.25">
      <c r="A12" s="1">
        <v>11</v>
      </c>
      <c r="B12" s="2" t="s">
        <v>426</v>
      </c>
      <c r="C12" s="2" t="s">
        <v>291</v>
      </c>
      <c r="D12" s="2" t="s">
        <v>292</v>
      </c>
      <c r="E12" s="3" t="s">
        <v>311</v>
      </c>
    </row>
    <row r="13" spans="1:5" x14ac:dyDescent="0.25">
      <c r="A13" s="1">
        <v>12</v>
      </c>
      <c r="B13" s="2" t="s">
        <v>426</v>
      </c>
      <c r="C13" s="2" t="s">
        <v>293</v>
      </c>
      <c r="D13" s="2" t="s">
        <v>294</v>
      </c>
      <c r="E13" s="3" t="s">
        <v>312</v>
      </c>
    </row>
    <row r="14" spans="1:5" ht="30" x14ac:dyDescent="0.25">
      <c r="A14" s="1">
        <v>13</v>
      </c>
      <c r="B14" s="2" t="s">
        <v>426</v>
      </c>
      <c r="C14" s="2" t="s">
        <v>295</v>
      </c>
      <c r="D14" s="2" t="s">
        <v>296</v>
      </c>
      <c r="E14" s="3" t="s">
        <v>313</v>
      </c>
    </row>
    <row r="15" spans="1:5" x14ac:dyDescent="0.25">
      <c r="A15" s="1">
        <v>14</v>
      </c>
      <c r="B15" s="2" t="s">
        <v>426</v>
      </c>
      <c r="C15" s="2" t="s">
        <v>297</v>
      </c>
      <c r="D15" s="2" t="s">
        <v>298</v>
      </c>
      <c r="E15" s="3" t="s">
        <v>314</v>
      </c>
    </row>
    <row r="16" spans="1:5" ht="30" x14ac:dyDescent="0.25">
      <c r="A16" s="1">
        <v>15</v>
      </c>
      <c r="B16" s="2" t="s">
        <v>426</v>
      </c>
      <c r="C16" s="2" t="s">
        <v>299</v>
      </c>
      <c r="D16" s="2" t="s">
        <v>300</v>
      </c>
      <c r="E16" s="3" t="s">
        <v>315</v>
      </c>
    </row>
    <row r="17" spans="1:5" x14ac:dyDescent="0.25">
      <c r="A17" s="1">
        <v>16</v>
      </c>
      <c r="B17" s="10" t="s">
        <v>316</v>
      </c>
      <c r="C17" s="2" t="s">
        <v>317</v>
      </c>
      <c r="D17" s="2" t="s">
        <v>318</v>
      </c>
      <c r="E17" s="4" t="s">
        <v>342</v>
      </c>
    </row>
    <row r="18" spans="1:5" x14ac:dyDescent="0.25">
      <c r="A18" s="1">
        <v>17</v>
      </c>
      <c r="B18" s="2" t="s">
        <v>316</v>
      </c>
      <c r="C18" s="2" t="s">
        <v>319</v>
      </c>
      <c r="D18" s="2" t="s">
        <v>320</v>
      </c>
      <c r="E18" s="5" t="s">
        <v>343</v>
      </c>
    </row>
    <row r="19" spans="1:5" x14ac:dyDescent="0.25">
      <c r="A19" s="1">
        <v>18</v>
      </c>
      <c r="B19" s="2" t="s">
        <v>316</v>
      </c>
      <c r="C19" s="2" t="s">
        <v>321</v>
      </c>
      <c r="D19" s="2" t="s">
        <v>322</v>
      </c>
      <c r="E19" s="4" t="s">
        <v>344</v>
      </c>
    </row>
    <row r="20" spans="1:5" x14ac:dyDescent="0.25">
      <c r="A20" s="1">
        <v>19</v>
      </c>
      <c r="B20" s="2" t="s">
        <v>316</v>
      </c>
      <c r="C20" s="2" t="s">
        <v>323</v>
      </c>
      <c r="D20" s="2" t="s">
        <v>324</v>
      </c>
      <c r="E20" s="3" t="s">
        <v>345</v>
      </c>
    </row>
    <row r="21" spans="1:5" x14ac:dyDescent="0.25">
      <c r="A21" s="1">
        <v>20</v>
      </c>
      <c r="B21" s="2" t="s">
        <v>316</v>
      </c>
      <c r="C21" s="2" t="s">
        <v>325</v>
      </c>
      <c r="D21" s="2" t="s">
        <v>326</v>
      </c>
      <c r="E21" s="3" t="s">
        <v>346</v>
      </c>
    </row>
    <row r="22" spans="1:5" x14ac:dyDescent="0.25">
      <c r="A22" s="1">
        <v>21</v>
      </c>
      <c r="B22" s="2" t="s">
        <v>316</v>
      </c>
      <c r="C22" s="2" t="s">
        <v>327</v>
      </c>
      <c r="D22" s="2" t="s">
        <v>328</v>
      </c>
      <c r="E22" s="3" t="s">
        <v>347</v>
      </c>
    </row>
    <row r="23" spans="1:5" ht="30" x14ac:dyDescent="0.25">
      <c r="A23" s="1">
        <v>22</v>
      </c>
      <c r="B23" s="2" t="s">
        <v>316</v>
      </c>
      <c r="C23" s="2" t="s">
        <v>329</v>
      </c>
      <c r="D23" s="2" t="s">
        <v>330</v>
      </c>
      <c r="E23" s="3" t="s">
        <v>348</v>
      </c>
    </row>
    <row r="24" spans="1:5" ht="30" x14ac:dyDescent="0.25">
      <c r="A24" s="1">
        <v>23</v>
      </c>
      <c r="B24" s="2" t="s">
        <v>316</v>
      </c>
      <c r="C24" s="2" t="s">
        <v>329</v>
      </c>
      <c r="D24" s="2" t="s">
        <v>331</v>
      </c>
      <c r="E24" s="3" t="s">
        <v>349</v>
      </c>
    </row>
    <row r="25" spans="1:5" x14ac:dyDescent="0.25">
      <c r="A25" s="1">
        <v>24</v>
      </c>
      <c r="B25" s="2" t="s">
        <v>316</v>
      </c>
      <c r="C25" s="2" t="s">
        <v>332</v>
      </c>
      <c r="D25" s="2" t="s">
        <v>333</v>
      </c>
      <c r="E25" s="3" t="s">
        <v>350</v>
      </c>
    </row>
    <row r="26" spans="1:5" x14ac:dyDescent="0.25">
      <c r="A26" s="1">
        <v>25</v>
      </c>
      <c r="B26" s="2" t="s">
        <v>316</v>
      </c>
      <c r="C26" s="2" t="s">
        <v>334</v>
      </c>
      <c r="D26" s="2" t="s">
        <v>335</v>
      </c>
      <c r="E26" s="3" t="s">
        <v>351</v>
      </c>
    </row>
    <row r="27" spans="1:5" x14ac:dyDescent="0.25">
      <c r="A27" s="1">
        <v>26</v>
      </c>
      <c r="B27" s="2" t="s">
        <v>316</v>
      </c>
      <c r="C27" s="2" t="s">
        <v>336</v>
      </c>
      <c r="D27" s="2" t="s">
        <v>337</v>
      </c>
      <c r="E27" s="3" t="s">
        <v>352</v>
      </c>
    </row>
    <row r="28" spans="1:5" x14ac:dyDescent="0.25">
      <c r="A28" s="1">
        <v>27</v>
      </c>
      <c r="B28" s="2" t="s">
        <v>316</v>
      </c>
      <c r="C28" s="2" t="s">
        <v>338</v>
      </c>
      <c r="D28" s="2" t="s">
        <v>339</v>
      </c>
      <c r="E28" s="3" t="s">
        <v>353</v>
      </c>
    </row>
    <row r="29" spans="1:5" x14ac:dyDescent="0.25">
      <c r="A29" s="1">
        <v>28</v>
      </c>
      <c r="B29" s="2" t="s">
        <v>316</v>
      </c>
      <c r="C29" s="2" t="s">
        <v>340</v>
      </c>
      <c r="D29" s="2" t="s">
        <v>341</v>
      </c>
      <c r="E29" s="3" t="s">
        <v>354</v>
      </c>
    </row>
    <row r="30" spans="1:5" x14ac:dyDescent="0.25">
      <c r="A30" s="1">
        <v>29</v>
      </c>
      <c r="B30" s="10" t="s">
        <v>356</v>
      </c>
      <c r="C30" s="2" t="s">
        <v>357</v>
      </c>
      <c r="D30" s="2" t="s">
        <v>358</v>
      </c>
      <c r="E30" s="3" t="s">
        <v>403</v>
      </c>
    </row>
    <row r="31" spans="1:5" x14ac:dyDescent="0.25">
      <c r="A31" s="1">
        <v>30</v>
      </c>
      <c r="B31" s="2" t="s">
        <v>356</v>
      </c>
      <c r="C31" s="2" t="s">
        <v>359</v>
      </c>
      <c r="D31" s="2" t="s">
        <v>360</v>
      </c>
      <c r="E31" s="3" t="s">
        <v>404</v>
      </c>
    </row>
    <row r="32" spans="1:5" x14ac:dyDescent="0.25">
      <c r="A32" s="1">
        <v>31</v>
      </c>
      <c r="B32" s="2" t="s">
        <v>356</v>
      </c>
      <c r="C32" s="2" t="s">
        <v>361</v>
      </c>
      <c r="D32" s="2" t="s">
        <v>362</v>
      </c>
      <c r="E32" s="3" t="s">
        <v>405</v>
      </c>
    </row>
    <row r="33" spans="1:5" x14ac:dyDescent="0.25">
      <c r="A33" s="1">
        <v>32</v>
      </c>
      <c r="B33" s="2" t="s">
        <v>356</v>
      </c>
      <c r="C33" s="2" t="s">
        <v>363</v>
      </c>
      <c r="D33" s="2" t="s">
        <v>364</v>
      </c>
      <c r="E33" s="3" t="s">
        <v>406</v>
      </c>
    </row>
    <row r="34" spans="1:5" x14ac:dyDescent="0.25">
      <c r="A34" s="1">
        <v>33</v>
      </c>
      <c r="B34" s="2" t="s">
        <v>356</v>
      </c>
      <c r="C34" s="2" t="s">
        <v>365</v>
      </c>
      <c r="D34" s="2" t="s">
        <v>366</v>
      </c>
      <c r="E34" s="3" t="s">
        <v>407</v>
      </c>
    </row>
    <row r="35" spans="1:5" x14ac:dyDescent="0.25">
      <c r="A35" s="1">
        <v>34</v>
      </c>
      <c r="B35" s="2" t="s">
        <v>356</v>
      </c>
      <c r="C35" s="2" t="s">
        <v>367</v>
      </c>
      <c r="D35" s="2" t="s">
        <v>368</v>
      </c>
      <c r="E35" s="3" t="s">
        <v>408</v>
      </c>
    </row>
    <row r="36" spans="1:5" x14ac:dyDescent="0.25">
      <c r="A36" s="1">
        <v>35</v>
      </c>
      <c r="B36" s="2" t="s">
        <v>356</v>
      </c>
      <c r="C36" s="2" t="s">
        <v>369</v>
      </c>
      <c r="D36" s="2" t="s">
        <v>370</v>
      </c>
      <c r="E36" s="3" t="s">
        <v>409</v>
      </c>
    </row>
    <row r="37" spans="1:5" x14ac:dyDescent="0.25">
      <c r="A37" s="1">
        <v>36</v>
      </c>
      <c r="B37" s="2" t="s">
        <v>356</v>
      </c>
      <c r="C37" s="2" t="s">
        <v>371</v>
      </c>
      <c r="D37" s="2" t="s">
        <v>372</v>
      </c>
      <c r="E37" s="3" t="s">
        <v>410</v>
      </c>
    </row>
    <row r="38" spans="1:5" ht="30" x14ac:dyDescent="0.25">
      <c r="A38" s="1">
        <v>37</v>
      </c>
      <c r="B38" s="2" t="s">
        <v>356</v>
      </c>
      <c r="C38" s="2" t="s">
        <v>373</v>
      </c>
      <c r="D38" s="2" t="s">
        <v>374</v>
      </c>
      <c r="E38" s="3" t="s">
        <v>411</v>
      </c>
    </row>
    <row r="39" spans="1:5" x14ac:dyDescent="0.25">
      <c r="A39" s="1">
        <v>38</v>
      </c>
      <c r="B39" s="2" t="s">
        <v>356</v>
      </c>
      <c r="C39" s="2" t="s">
        <v>375</v>
      </c>
      <c r="D39" s="2" t="s">
        <v>376</v>
      </c>
      <c r="E39" s="3" t="s">
        <v>412</v>
      </c>
    </row>
    <row r="40" spans="1:5" x14ac:dyDescent="0.25">
      <c r="A40" s="1">
        <v>39</v>
      </c>
      <c r="B40" s="2" t="s">
        <v>356</v>
      </c>
      <c r="C40" s="2" t="s">
        <v>377</v>
      </c>
      <c r="D40" s="2" t="s">
        <v>378</v>
      </c>
      <c r="E40" s="3" t="s">
        <v>413</v>
      </c>
    </row>
    <row r="41" spans="1:5" x14ac:dyDescent="0.25">
      <c r="A41" s="1">
        <v>40</v>
      </c>
      <c r="B41" s="2" t="s">
        <v>356</v>
      </c>
      <c r="C41" s="2" t="s">
        <v>379</v>
      </c>
      <c r="D41" s="2" t="s">
        <v>380</v>
      </c>
      <c r="E41" s="3" t="s">
        <v>414</v>
      </c>
    </row>
    <row r="42" spans="1:5" x14ac:dyDescent="0.25">
      <c r="A42" s="1">
        <v>41</v>
      </c>
      <c r="B42" s="2" t="s">
        <v>356</v>
      </c>
      <c r="C42" s="2" t="s">
        <v>381</v>
      </c>
      <c r="D42" s="2" t="s">
        <v>382</v>
      </c>
      <c r="E42" s="3" t="s">
        <v>415</v>
      </c>
    </row>
    <row r="43" spans="1:5" x14ac:dyDescent="0.25">
      <c r="A43" s="1">
        <v>42</v>
      </c>
      <c r="B43" s="2" t="s">
        <v>356</v>
      </c>
      <c r="C43" s="2" t="s">
        <v>383</v>
      </c>
      <c r="D43" s="2" t="s">
        <v>384</v>
      </c>
      <c r="E43" s="3" t="s">
        <v>416</v>
      </c>
    </row>
    <row r="44" spans="1:5" x14ac:dyDescent="0.25">
      <c r="A44" s="1">
        <v>43</v>
      </c>
      <c r="B44" s="10" t="s">
        <v>385</v>
      </c>
      <c r="C44" s="2" t="s">
        <v>386</v>
      </c>
      <c r="D44" s="2" t="s">
        <v>387</v>
      </c>
      <c r="E44" s="3" t="s">
        <v>417</v>
      </c>
    </row>
    <row r="45" spans="1:5" x14ac:dyDescent="0.25">
      <c r="A45" s="1">
        <v>44</v>
      </c>
      <c r="B45" s="2" t="s">
        <v>385</v>
      </c>
      <c r="C45" s="2" t="s">
        <v>388</v>
      </c>
      <c r="D45" s="2" t="s">
        <v>389</v>
      </c>
      <c r="E45" s="3" t="s">
        <v>418</v>
      </c>
    </row>
    <row r="46" spans="1:5" x14ac:dyDescent="0.25">
      <c r="A46" s="1">
        <v>45</v>
      </c>
      <c r="B46" s="2" t="s">
        <v>385</v>
      </c>
      <c r="C46" s="2" t="s">
        <v>388</v>
      </c>
      <c r="D46" s="2" t="s">
        <v>390</v>
      </c>
      <c r="E46" s="3" t="s">
        <v>419</v>
      </c>
    </row>
    <row r="47" spans="1:5" x14ac:dyDescent="0.25">
      <c r="A47" s="1">
        <v>46</v>
      </c>
      <c r="B47" s="2" t="s">
        <v>385</v>
      </c>
      <c r="C47" s="2" t="s">
        <v>391</v>
      </c>
      <c r="D47" s="2" t="s">
        <v>392</v>
      </c>
      <c r="E47" s="3" t="s">
        <v>420</v>
      </c>
    </row>
    <row r="48" spans="1:5" x14ac:dyDescent="0.25">
      <c r="A48" s="1">
        <v>47</v>
      </c>
      <c r="B48" s="2" t="s">
        <v>385</v>
      </c>
      <c r="C48" s="2" t="s">
        <v>393</v>
      </c>
      <c r="D48" s="2" t="s">
        <v>394</v>
      </c>
      <c r="E48" s="3" t="s">
        <v>421</v>
      </c>
    </row>
    <row r="49" spans="1:5" ht="30" x14ac:dyDescent="0.25">
      <c r="A49" s="1">
        <v>48</v>
      </c>
      <c r="B49" s="2" t="s">
        <v>385</v>
      </c>
      <c r="C49" s="2" t="s">
        <v>395</v>
      </c>
      <c r="D49" s="2" t="s">
        <v>396</v>
      </c>
      <c r="E49" s="3" t="s">
        <v>422</v>
      </c>
    </row>
    <row r="50" spans="1:5" x14ac:dyDescent="0.25">
      <c r="A50" s="1">
        <v>49</v>
      </c>
      <c r="B50" s="2" t="s">
        <v>385</v>
      </c>
      <c r="C50" s="2" t="s">
        <v>397</v>
      </c>
      <c r="D50" s="2" t="s">
        <v>398</v>
      </c>
      <c r="E50" s="3" t="s">
        <v>423</v>
      </c>
    </row>
    <row r="51" spans="1:5" x14ac:dyDescent="0.25">
      <c r="A51" s="1">
        <v>50</v>
      </c>
      <c r="B51" s="2" t="s">
        <v>385</v>
      </c>
      <c r="C51" s="2" t="s">
        <v>399</v>
      </c>
      <c r="D51" s="2" t="s">
        <v>400</v>
      </c>
      <c r="E51" s="3" t="s">
        <v>424</v>
      </c>
    </row>
    <row r="52" spans="1:5" x14ac:dyDescent="0.25">
      <c r="A52" s="1">
        <v>51</v>
      </c>
      <c r="B52" s="2" t="s">
        <v>385</v>
      </c>
      <c r="C52" s="2" t="s">
        <v>401</v>
      </c>
      <c r="D52" s="2" t="s">
        <v>402</v>
      </c>
      <c r="E52" s="3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Employees_Data</vt:lpstr>
      <vt:lpstr>Sales_Data</vt:lpstr>
      <vt:lpstr>Attendance_Data</vt:lpstr>
      <vt:lpstr>Questions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2026-01-07T12:43:49Z</dcterms:created>
  <dcterms:modified xsi:type="dcterms:W3CDTF">2026-03-23T08:27:15Z</dcterms:modified>
</cp:coreProperties>
</file>